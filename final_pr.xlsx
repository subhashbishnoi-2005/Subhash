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excel projects\final Excel Project\"/>
    </mc:Choice>
  </mc:AlternateContent>
  <xr:revisionPtr revIDLastSave="0" documentId="13_ncr:1_{27A731FE-C896-40AB-B002-74EB6C930525}" xr6:coauthVersionLast="47" xr6:coauthVersionMax="47" xr10:uidLastSave="{00000000-0000-0000-0000-000000000000}"/>
  <bookViews>
    <workbookView xWindow="-110" yWindow="-110" windowWidth="19420" windowHeight="10300" xr2:uid="{00000000-000D-0000-FFFF-FFFF00000000}"/>
  </bookViews>
  <sheets>
    <sheet name="Raw Data" sheetId="1" r:id="rId1"/>
    <sheet name="Analysis" sheetId="2" r:id="rId2"/>
    <sheet name="Visualizations" sheetId="3" r:id="rId3"/>
    <sheet name="Dashboard" sheetId="4" r:id="rId4"/>
    <sheet name="Sheet1" sheetId="5" r:id="rId5"/>
  </sheets>
  <definedNames>
    <definedName name="Slicer_Category">#N/A</definedName>
    <definedName name="Slicer_Customer_Segment">#N/A</definedName>
    <definedName name="Slicer_Region">#N/A</definedName>
  </definedNames>
  <calcPr calcId="191029"/>
  <pivotCaches>
    <pivotCache cacheId="18" r:id="rId6"/>
    <pivotCache cacheId="1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0" i="4" l="1"/>
  <c r="C13" i="2"/>
  <c r="M10" i="4" a="1"/>
  <c r="M10" i="4" s="1"/>
  <c r="C17" i="2" a="1"/>
  <c r="C17" i="2" s="1"/>
  <c r="H10" i="4"/>
  <c r="C12" i="2"/>
  <c r="C10" i="4"/>
  <c r="C11" i="2"/>
  <c r="M6" i="2" l="1"/>
  <c r="M7" i="2"/>
  <c r="M8" i="2"/>
  <c r="M9" i="2"/>
  <c r="M10" i="2"/>
  <c r="M11" i="2"/>
  <c r="M12" i="2"/>
  <c r="M13" i="2"/>
  <c r="M14" i="2"/>
  <c r="M5" i="2"/>
  <c r="L6" i="2"/>
  <c r="L7" i="2"/>
  <c r="L8" i="2"/>
  <c r="L9" i="2"/>
  <c r="L10" i="2"/>
  <c r="L11" i="2"/>
  <c r="L12" i="2"/>
  <c r="L13" i="2"/>
  <c r="L14" i="2"/>
  <c r="L5" i="2"/>
  <c r="K6" i="2"/>
  <c r="K7" i="2"/>
  <c r="K8" i="2"/>
  <c r="K9" i="2"/>
  <c r="K10" i="2"/>
  <c r="K11" i="2"/>
  <c r="K12" i="2"/>
  <c r="K13" i="2"/>
  <c r="K14" i="2"/>
  <c r="K5" i="2"/>
  <c r="H9" i="2"/>
  <c r="H10" i="2"/>
  <c r="H11" i="2"/>
  <c r="G6" i="2"/>
  <c r="H6" i="2" s="1"/>
  <c r="G7" i="2"/>
  <c r="H7" i="2" s="1"/>
  <c r="G8" i="2"/>
  <c r="H8" i="2" s="1"/>
  <c r="G9" i="2"/>
  <c r="G10" i="2"/>
  <c r="G11" i="2"/>
  <c r="G12" i="2"/>
  <c r="G13" i="2"/>
  <c r="G14" i="2"/>
  <c r="G15" i="2"/>
  <c r="G16" i="2"/>
  <c r="G17" i="2"/>
  <c r="G18" i="2"/>
  <c r="H18" i="2" s="1"/>
  <c r="G19" i="2"/>
  <c r="H19" i="2" s="1"/>
  <c r="G5" i="2"/>
  <c r="H5" i="2" s="1"/>
  <c r="F6" i="2"/>
  <c r="F7" i="2"/>
  <c r="F8" i="2"/>
  <c r="F9" i="2"/>
  <c r="F10" i="2"/>
  <c r="F11" i="2"/>
  <c r="F12" i="2"/>
  <c r="H12" i="2" s="1"/>
  <c r="F13" i="2"/>
  <c r="H13" i="2" s="1"/>
  <c r="F14" i="2"/>
  <c r="H14" i="2" s="1"/>
  <c r="F15" i="2"/>
  <c r="H15" i="2" s="1"/>
  <c r="F16" i="2"/>
  <c r="H16" i="2" s="1"/>
  <c r="F17" i="2"/>
  <c r="H17" i="2" s="1"/>
  <c r="F18" i="2"/>
  <c r="F19" i="2"/>
  <c r="F5" i="2"/>
  <c r="C7" i="2"/>
  <c r="C6" i="2"/>
  <c r="C5" i="2"/>
  <c r="C4" i="2"/>
  <c r="C21" i="2"/>
  <c r="C20" i="2"/>
  <c r="C19" i="2"/>
  <c r="C18" i="2"/>
  <c r="C16" i="2"/>
  <c r="C15" i="2"/>
  <c r="C14" i="2"/>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 i="1"/>
  <c r="D27" i="2" l="1"/>
  <c r="D26" i="2"/>
  <c r="D25"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<sst xmlns="http://schemas.openxmlformats.org/spreadsheetml/2006/main" count="2411" uniqueCount="481">
  <si>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</si>
  <si>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</si>
  <si>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</si>
  <si>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</si>
  <si>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</si>
  <si>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</si>
  <si>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</si>
  <si>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</si>
  <si>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</si>
  <si>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</si>
  <si>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</si>
  <si>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</si>
  <si>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</si>
  <si>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</si>
  <si>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Month</t>
  </si>
  <si>
    <t>Year</t>
  </si>
  <si>
    <t>Days_As_Customer</t>
  </si>
  <si>
    <t>Customer_Level</t>
  </si>
  <si>
    <t>TRX0155</t>
  </si>
  <si>
    <t>CUST023</t>
  </si>
  <si>
    <t>Paul Baker</t>
  </si>
  <si>
    <t>P009</t>
  </si>
  <si>
    <t>Monitor</t>
  </si>
  <si>
    <t>Electronics</t>
  </si>
  <si>
    <t>Cash</t>
  </si>
  <si>
    <t>Central</t>
  </si>
  <si>
    <t>Basic</t>
  </si>
  <si>
    <t>Apr</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</si>
  <si>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</si>
  <si>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</si>
  <si>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</si>
  <si>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</si>
  <si>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</si>
  <si>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</si>
  <si>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</si>
  <si>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</si>
  <si>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</si>
  <si>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</si>
  <si>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</si>
  <si>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</si>
  <si>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</si>
  <si>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</si>
  <si>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</si>
  <si>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</si>
  <si>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</si>
  <si>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</si>
  <si>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</si>
  <si>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</si>
  <si>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</si>
  <si>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</si>
  <si>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</si>
  <si>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</si>
  <si>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</si>
  <si>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</si>
  <si>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</si>
  <si>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</si>
  <si>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</si>
  <si>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</si>
  <si>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</si>
  <si>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</si>
  <si>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</si>
  <si>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</si>
  <si>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</si>
  <si>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</si>
  <si>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</si>
  <si>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</si>
  <si>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</si>
  <si>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</si>
  <si>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</si>
  <si>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</si>
  <si>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</si>
  <si>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</si>
  <si>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</si>
  <si>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</si>
  <si>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</si>
  <si>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</si>
  <si>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</si>
  <si>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</si>
  <si>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</si>
  <si>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</si>
  <si>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</si>
  <si>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</si>
  <si>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</si>
  <si>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</si>
  <si>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</si>
  <si>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</si>
  <si>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</si>
  <si>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</si>
  <si>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</si>
  <si>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</si>
  <si>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</si>
  <si>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</si>
  <si>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</si>
  <si>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</si>
  <si>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</si>
  <si>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</si>
  <si>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</si>
  <si>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</si>
  <si>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</si>
  <si>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</si>
  <si>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</si>
  <si>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</si>
  <si>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</si>
  <si>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</si>
  <si>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</si>
  <si>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</si>
  <si>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May</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</si>
  <si>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</si>
  <si>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</si>
  <si>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</si>
  <si>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</si>
  <si>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</si>
  <si>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</si>
  <si>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</si>
  <si>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</si>
  <si>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</si>
  <si>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</si>
  <si>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</si>
  <si>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</si>
  <si>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</si>
  <si>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</si>
  <si>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</si>
  <si>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</si>
  <si>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</si>
  <si>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</si>
  <si>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</si>
  <si>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</si>
  <si>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</si>
  <si>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</si>
  <si>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</si>
  <si>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</si>
  <si>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</si>
  <si>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</si>
  <si>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</si>
  <si>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</si>
  <si>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</si>
  <si>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</si>
  <si>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</si>
  <si>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</si>
  <si>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</si>
  <si>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</si>
  <si>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</si>
  <si>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</si>
  <si>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</si>
  <si>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</si>
  <si>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</si>
  <si>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</si>
  <si>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</si>
  <si>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</si>
  <si>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</si>
  <si>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</si>
  <si>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</si>
  <si>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</si>
  <si>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</si>
  <si>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</si>
  <si>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</si>
  <si>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</si>
  <si>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</si>
  <si>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Jun</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</si>
  <si>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</si>
  <si>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</si>
  <si>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</si>
  <si>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</si>
  <si>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</si>
  <si>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</si>
  <si>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</si>
  <si>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</si>
  <si>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</si>
  <si>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</si>
  <si>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</si>
  <si>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</si>
  <si>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</si>
  <si>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</si>
  <si>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</si>
  <si>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</si>
  <si>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</si>
  <si>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</si>
  <si>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</si>
  <si>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</si>
  <si>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</si>
  <si>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</si>
  <si>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</si>
  <si>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</si>
  <si>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</si>
  <si>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</si>
  <si>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</si>
  <si>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Jul</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</si>
  <si>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</si>
  <si>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</si>
  <si>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</si>
  <si>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</si>
  <si>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</si>
  <si>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</si>
  <si>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</si>
  <si>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</si>
  <si>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</si>
  <si>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</si>
  <si>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</si>
  <si>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</si>
  <si>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</si>
  <si>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</si>
  <si>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</si>
  <si>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</si>
  <si>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</si>
  <si>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</si>
  <si>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</si>
  <si>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</si>
  <si>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</si>
  <si>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</si>
  <si>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</si>
  <si>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</si>
  <si>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</si>
  <si>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</si>
  <si>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</si>
  <si>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</si>
  <si>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</si>
  <si>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</si>
  <si>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</si>
  <si>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</si>
  <si>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</si>
  <si>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</si>
  <si>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Aug</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</si>
  <si>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</si>
  <si>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</si>
  <si>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</si>
  <si>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</si>
  <si>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</si>
  <si>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</si>
  <si>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</si>
  <si>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</si>
  <si>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</si>
  <si>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</si>
  <si>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</si>
  <si>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</si>
  <si>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</si>
  <si>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</si>
  <si>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</si>
  <si>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</si>
  <si>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</si>
  <si>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</si>
  <si>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</si>
  <si>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</si>
  <si>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</si>
  <si>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</si>
  <si>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</si>
  <si>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</si>
  <si>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Sep</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</si>
  <si>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</si>
  <si>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</si>
  <si>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</si>
  <si>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</si>
  <si>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</si>
  <si>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</si>
  <si>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</si>
  <si>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</si>
  <si>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</si>
  <si>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</si>
  <si>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</si>
  <si>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</si>
  <si>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</si>
  <si>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</si>
  <si>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</si>
  <si>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</si>
  <si>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</si>
  <si>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</si>
  <si>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</si>
  <si>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</si>
  <si>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</si>
  <si>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</si>
  <si>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</si>
  <si>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</si>
  <si>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</si>
  <si>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Oct</t>
  </si>
  <si>
    <t>TRX0146</t>
  </si>
  <si>
    <t>TRX0203</t>
  </si>
  <si>
    <t>TRX0055</t>
  </si>
  <si>
    <t>TRX0218</t>
  </si>
  <si>
    <t>TRX0085</t>
  </si>
  <si>
    <t>TRX0158</t>
  </si>
  <si>
    <t>TRX0173</t>
  </si>
  <si>
    <t>TRX0034</t>
  </si>
  <si>
    <t>TRX0189</t>
  </si>
  <si>
    <t>TRX0190</t>
  </si>
  <si>
    <t>TRX0079</t>
  </si>
  <si>
    <t>TRX0095</t>
  </si>
  <si>
    <t>TRX0009</t>
  </si>
  <si>
    <t>TRX0167</t>
  </si>
  <si>
    <t>TRX0153</t>
  </si>
  <si>
    <t>TRX0057</t>
  </si>
  <si>
    <t>Nov</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</si>
  <si>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</si>
  <si>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</si>
  <si>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</si>
  <si>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</si>
  <si>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</si>
  <si>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</si>
  <si>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</si>
  <si>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</si>
  <si>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</si>
  <si>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</si>
  <si>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</si>
  <si>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</si>
  <si>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</si>
  <si>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</si>
  <si>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</si>
  <si>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</si>
  <si>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</si>
  <si>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</si>
  <si>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</si>
  <si>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Dec</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</si>
  <si>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</si>
  <si>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</si>
  <si>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</si>
  <si>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</si>
  <si>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</si>
  <si>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</si>
  <si>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</si>
  <si>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</si>
  <si>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</si>
  <si>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</si>
  <si>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</si>
  <si>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</si>
  <si>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</si>
  <si>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</si>
  <si>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</si>
  <si>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</si>
  <si>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</si>
  <si>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</si>
  <si>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</si>
  <si>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</si>
  <si>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</si>
  <si>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</si>
  <si>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</si>
  <si>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</si>
  <si>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</si>
  <si>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</si>
  <si>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</si>
  <si>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</si>
  <si>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</si>
  <si>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</si>
  <si>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</si>
  <si>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</si>
  <si>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</si>
  <si>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</si>
  <si>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</si>
  <si>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</si>
  <si>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</si>
  <si>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</si>
  <si>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</si>
  <si>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</si>
  <si>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</si>
  <si>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</si>
  <si>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</si>
  <si>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</si>
  <si>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</si>
  <si>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</si>
  <si>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</si>
  <si>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</si>
  <si>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</si>
  <si>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</si>
  <si>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</si>
  <si>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</si>
  <si>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</si>
  <si>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</si>
  <si>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</si>
  <si>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</si>
  <si>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</si>
  <si>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</si>
  <si>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</si>
  <si>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</si>
  <si>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</si>
  <si>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</si>
  <si>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</si>
  <si>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</si>
  <si>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</si>
  <si>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</si>
  <si>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</si>
  <si>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</si>
  <si>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</si>
  <si>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</si>
  <si>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</si>
  <si>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</si>
  <si>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</si>
  <si>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</si>
  <si>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</si>
  <si>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</si>
  <si>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</si>
  <si>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</si>
  <si>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</si>
  <si>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</si>
  <si>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</si>
  <si>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</si>
  <si>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</si>
  <si>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</si>
  <si>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</si>
  <si>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</si>
  <si>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</si>
  <si>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</si>
  <si>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</si>
  <si>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</si>
  <si>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</si>
  <si>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</si>
  <si>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</si>
  <si>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</si>
  <si>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</si>
  <si>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</si>
  <si>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</si>
  <si>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</si>
  <si>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</si>
  <si>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</si>
  <si>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</si>
  <si>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</si>
  <si>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Date &amp; Time Functions section</t>
  </si>
  <si>
    <t>Today's Date</t>
  </si>
  <si>
    <t>Current Timestamp</t>
  </si>
  <si>
    <t>End of Current Month</t>
  </si>
  <si>
    <t>KPI Metrics – Key Performance Indicators</t>
  </si>
  <si>
    <t>Total Revenue</t>
  </si>
  <si>
    <t>Total Transactions</t>
  </si>
  <si>
    <t>Average Order Value</t>
  </si>
  <si>
    <t>Max Single Order</t>
  </si>
  <si>
    <t>Min Single Order</t>
  </si>
  <si>
    <t>Total Qty Sold</t>
  </si>
  <si>
    <t>Unique Customers</t>
  </si>
  <si>
    <t>Premium Revenue</t>
  </si>
  <si>
    <t>Electronics Revenue</t>
  </si>
  <si>
    <t>Furniture Revenue</t>
  </si>
  <si>
    <t>Appliances Revenue</t>
  </si>
  <si>
    <t>Days Of Data</t>
  </si>
  <si>
    <t>GroupBy – High Value Customers</t>
  </si>
  <si>
    <t>Customer Name</t>
  </si>
  <si>
    <t>No. of Orders</t>
  </si>
  <si>
    <t>Avg Order Value</t>
  </si>
  <si>
    <t>Product Analysis – Most Purchased Products</t>
  </si>
  <si>
    <t>Product Name</t>
  </si>
  <si>
    <t>Qty Sold</t>
  </si>
  <si>
    <t>What-If Analysis – Scenario Manager</t>
  </si>
  <si>
    <t>Scenario</t>
  </si>
  <si>
    <t>Growth Rate</t>
  </si>
  <si>
    <t>Projected Revenue</t>
  </si>
  <si>
    <t>Pessimistic</t>
  </si>
  <si>
    <t>Base Case</t>
  </si>
  <si>
    <t>Optimistic</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</si>
  <si>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</si>
  <si>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</si>
  <si>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</si>
  <si>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</si>
  <si>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</si>
  <si>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</si>
  <si>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</si>
  <si>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</si>
  <si>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</si>
  <si>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</si>
  <si>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</si>
  <si>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</si>
  <si>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</si>
  <si>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</si>
  <si>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</si>
  <si>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</si>
  <si>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</si>
  <si>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</si>
  <si>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</si>
  <si>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</si>
  <si>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</si>
  <si>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</si>
  <si>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</si>
  <si>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</si>
  <si>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Linear Regression – Quantity vs Total Amount</t>
  </si>
  <si>
    <t>ANALYSIS SHEET – Formulas, KPIs &amp; Data Insights</t>
  </si>
  <si>
    <t>Row Labels</t>
  </si>
  <si>
    <t>Grand Total</t>
  </si>
  <si>
    <t>Sum of Total_Amount</t>
  </si>
  <si>
    <t>Revenue by Category</t>
  </si>
  <si>
    <t>Revenue by Region</t>
  </si>
  <si>
    <t xml:space="preserve"> Revenue by Payment Method</t>
  </si>
  <si>
    <t>Top 10 Customers by Revenue</t>
  </si>
  <si>
    <t>Monthly Revenue Trend</t>
  </si>
  <si>
    <t>VISUALIZATIONS – Charts &amp; Graphs for Data Intelligence Dashboard</t>
  </si>
  <si>
    <t>Customer Transaction Analysis  |  Auto-Updated: =TODAY()  |  Report Period: Apr 2024 – Aug 2024</t>
  </si>
  <si>
    <t>📊  DATA INTELLIGENCE DASHBOARD</t>
  </si>
  <si>
    <t xml:space="preserve"> Unique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</si>
</sst>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4009]yyyy/mm/dd;@"/>
    <numFmt numFmtId="172" formatCode="[$-14009]dd/mm/yyyy;@"/>
    <numFmt numFmtId="188" formatCode="&quot;₹&quot;\ #,##0.00"/>
  </numFmts>
  <fonts count="22" x14ac:knownFonts="1">
    <font>
      <sz val="11"/>
      <color theme="1"/>
      <name val="Calibri"/>
      <family val="2"/>
      <scheme val="minor"/>
    </font>
    <font>
      <b/>
      <sz val="18"/>
      <color rgb="FF1F1F1F"/>
      <name val="Calibri"/>
    </font>
    <font>
      <b/>
      <sz val="11"/>
      <name val="Calibri"/>
    </font>
    <font>
      <b/>
      <sz val="14"/>
      <name val="Calibri"/>
    </font>
    <font>
      <b/>
      <sz val="16"/>
      <name val="Calibri"/>
    </font>
    <font>
      <b/>
      <sz val="11"/>
      <color rgb="FFFFFFFF"/>
      <name val="Calibri"/>
      <family val="2"/>
    </font>
    <font>
      <b/>
      <sz val="11"/>
      <color theme="1"/>
      <name val="Calibri"/>
      <family val="2"/>
      <scheme val="minor"/>
    </font>
    <font>
      <b/>
      <sz val="14"/>
      <color theme="2"/>
      <name val="Calibri"/>
      <family val="2"/>
      <scheme val="minor"/>
    </font>
    <font>
      <b/>
      <sz val="15"/>
      <color theme="2"/>
      <name val="Calibri"/>
      <family val="2"/>
      <scheme val="minor"/>
    </font>
    <font>
      <sz val="12"/>
      <color theme="1"/>
      <name val="Calibri"/>
      <family val="2"/>
      <scheme val="minor"/>
    </font>
    <font>
      <b/>
      <sz val="12"/>
      <color theme="2"/>
      <name val="Calibri"/>
      <family val="2"/>
      <scheme val="minor"/>
    </font>
    <font>
      <sz val="11"/>
      <color theme="1"/>
      <name val="Calibri"/>
      <family val="2"/>
      <charset val="1"/>
    </font>
    <font>
      <b/>
      <sz val="22"/>
      <color rgb="FFFFFFFF"/>
      <name val="Calibri"/>
      <family val="2"/>
    </font>
    <font>
      <i/>
      <sz val="10"/>
      <color rgb="FFBFBFBF"/>
      <name val="Calibri"/>
      <family val="2"/>
    </font>
    <font>
      <sz val="10"/>
      <color rgb="FF000000"/>
      <name val="Calibri"/>
      <family val="2"/>
    </font>
    <font>
      <i/>
      <sz val="11"/>
      <color theme="1"/>
      <name val="Calibri"/>
      <family val="2"/>
      <scheme val="minor"/>
    </font>
    <font>
      <sz val="16"/>
      <color theme="2"/>
      <name val="Calibri"/>
      <family val="2"/>
      <scheme val="minor"/>
    </font>
    <font>
      <b/>
      <sz val="26"/>
      <color theme="2"/>
      <name val="Calibri"/>
      <family val="2"/>
      <scheme val="minor"/>
    </font>
    <font>
      <b/>
      <sz val="11"/>
      <color theme="2"/>
      <name val="Calibri"/>
      <family val="2"/>
      <scheme val="minor"/>
    </font>
    <font>
      <b/>
      <sz val="28"/>
      <color theme="2"/>
      <name val="Calibri"/>
      <family val="2"/>
      <scheme val="minor"/>
    </font>
    <font>
      <b/>
      <sz val="20"/>
      <color theme="2"/>
      <name val="Calibri"/>
      <family val="2"/>
      <scheme val="minor"/>
    </font>
    <font>
      <b/>
      <sz val="22"/>
      <color theme="0" tint="-4.9989318521683403E-2"/>
      <name val="Calibri"/>
      <family val="2"/>
      <scheme val="minor"/>
    </font>
  </fonts>
  <fills count="14">
    <fill>
      <patternFill patternType="none"/>
    </fill>
    <fill>
      <patternFill patternType="gray125"/>
    </fill>
    <fill>
      <patternFill patternType="solid">
        <fgColor rgb="FF1F4E78"/>
        <bgColor rgb="FF1F4E78"/>
      </patternFill>
    </fill>
    <fill>
      <patternFill patternType="solid">
        <fgColor theme="0"/>
        <bgColor indexed="64"/>
      </patternFill>
    </fill>
    <fill>
      <patternFill patternType="solid">
        <fgColor theme="8" tint="-0.249977111117893"/>
        <bgColor indexed="64"/>
      </patternFill>
    </fill>
    <fill>
      <patternFill patternType="solid">
        <fgColor rgb="FF1F3864"/>
        <bgColor rgb="FF333399"/>
      </patternFill>
    </fill>
    <fill>
      <patternFill patternType="solid">
        <fgColor rgb="FF0D1F3C"/>
        <bgColor rgb="FF1F3864"/>
      </patternFill>
    </fill>
    <fill>
      <patternFill patternType="solid">
        <fgColor theme="8" tint="0.79998168889431442"/>
        <bgColor indexed="64"/>
      </patternFill>
    </fill>
    <fill>
      <patternFill patternType="solid">
        <fgColor rgb="FFE4E8E0"/>
        <bgColor indexed="64"/>
      </patternFill>
    </fill>
    <fill>
      <patternFill patternType="solid">
        <fgColor rgb="FFE4E8E0"/>
        <bgColor rgb="FFEBF3FB"/>
      </patternFill>
    </fill>
    <fill>
      <patternFill patternType="solid">
        <fgColor theme="3" tint="-0.499984740745262"/>
        <bgColor indexed="64"/>
      </patternFill>
    </fill>
    <fill>
      <patternFill patternType="solid">
        <fgColor theme="3" tint="-0.249977111117893"/>
        <bgColor indexed="64"/>
      </patternFill>
    </fill>
    <fill>
      <patternFill patternType="solid">
        <fgColor theme="6" tint="-0.249977111117893"/>
        <bgColor indexed="64"/>
      </patternFill>
    </fill>
    <fill>
      <patternFill patternType="solid">
        <fgColor theme="2" tint="-0.749992370372631"/>
        <bgColor indexed="64"/>
      </patternFill>
    </fill>
  </fills>
  <borders count="62">
    <border>
      <left/>
      <right/>
      <top/>
      <bottom/>
      <diagonal/>
    </border>
    <border>
      <left style="thin">
        <color rgb="FFD9D9D9"/>
      </left>
      <right style="thin">
        <color rgb="FFD9D9D9"/>
      </right>
      <top style="thin">
        <color rgb="FFD9D9D9"/>
      </top>
      <bottom style="thin">
        <color rgb="FFD9D9D9"/>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style="thin">
        <color indexed="64"/>
      </right>
      <top/>
      <bottom/>
      <diagonal/>
    </border>
    <border>
      <left/>
      <right style="thin">
        <color rgb="FFD9D9D9"/>
      </right>
      <top style="thin">
        <color rgb="FFD9D9D9"/>
      </top>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
      <left/>
      <right style="thin">
        <color rgb="FFD9D9D9"/>
      </right>
      <top/>
      <bottom style="thin">
        <color rgb="FFD9D9D9"/>
      </bottom>
      <diagonal/>
    </border>
    <border>
      <left/>
      <right/>
      <top/>
      <bottom style="thin">
        <color indexed="64"/>
      </bottom>
      <diagonal/>
    </border>
    <border>
      <left/>
      <right/>
      <top style="thin">
        <color rgb="FFD9D9D9"/>
      </top>
      <bottom style="thin">
        <color rgb="FFD9D9D9"/>
      </bottom>
      <diagonal/>
    </border>
    <border>
      <left style="thin">
        <color rgb="FFD9D9D9"/>
      </left>
      <right/>
      <top/>
      <bottom style="thin">
        <color rgb="FFD9D9D9"/>
      </bottom>
      <diagonal/>
    </border>
    <border>
      <left style="thin">
        <color rgb="FFD9D9D9"/>
      </left>
      <right style="thin">
        <color rgb="FFD9D9D9"/>
      </right>
      <top/>
      <bottom/>
      <diagonal/>
    </border>
    <border>
      <left style="thin">
        <color rgb="FFD9D9D9"/>
      </left>
      <right/>
      <top/>
      <bottom/>
      <diagonal/>
    </border>
    <border>
      <left/>
      <right/>
      <top style="thin">
        <color rgb="FFD9D9D9"/>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right style="thin">
        <color rgb="FFD9D9D9"/>
      </right>
      <top/>
      <bottom/>
      <diagonal/>
    </border>
    <border>
      <left/>
      <right/>
      <top style="medium">
        <color indexed="64"/>
      </top>
      <bottom/>
      <diagonal/>
    </border>
    <border>
      <left style="medium">
        <color indexed="64"/>
      </left>
      <right style="thin">
        <color rgb="FFBFBFBF"/>
      </right>
      <top style="thin">
        <color rgb="FFBFBFBF"/>
      </top>
      <bottom style="thin">
        <color rgb="FFBFBFBF"/>
      </bottom>
      <diagonal/>
    </border>
    <border>
      <left style="medium">
        <color indexed="64"/>
      </left>
      <right style="thin">
        <color rgb="FFBFBFBF"/>
      </right>
      <top style="thin">
        <color rgb="FFBFBFBF"/>
      </top>
      <bottom style="medium">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right style="medium">
        <color indexed="64"/>
      </right>
      <top style="thin">
        <color indexed="64"/>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rgb="FFD9D9D9"/>
      </bottom>
      <diagonal/>
    </border>
    <border>
      <left style="thin">
        <color indexed="64"/>
      </left>
      <right style="medium">
        <color indexed="64"/>
      </right>
      <top style="thin">
        <color rgb="FFD9D9D9"/>
      </top>
      <bottom style="thin">
        <color rgb="FFD9D9D9"/>
      </bottom>
      <diagonal/>
    </border>
    <border>
      <left style="thin">
        <color indexed="64"/>
      </left>
      <right style="medium">
        <color indexed="64"/>
      </right>
      <top style="thin">
        <color rgb="FFD9D9D9"/>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rgb="FFD9D9D9"/>
      </bottom>
      <diagonal/>
    </border>
    <border>
      <left style="medium">
        <color indexed="64"/>
      </left>
      <right style="thin">
        <color rgb="FFD9D9D9"/>
      </right>
      <top style="thin">
        <color rgb="FFD9D9D9"/>
      </top>
      <bottom/>
      <diagonal/>
    </border>
    <border>
      <left style="medium">
        <color indexed="64"/>
      </left>
      <right style="thin">
        <color rgb="FFD9D9D9"/>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style="thin">
        <color rgb="FFD9D9D9"/>
      </right>
      <top style="thin">
        <color rgb="FFD9D9D9"/>
      </top>
      <bottom style="thin">
        <color rgb="FFD9D9D9"/>
      </bottom>
      <diagonal/>
    </border>
    <border>
      <left style="medium">
        <color indexed="64"/>
      </left>
      <right/>
      <top style="thin">
        <color rgb="FFD9D9D9"/>
      </top>
      <bottom style="thin">
        <color rgb="FFD9D9D9"/>
      </bottom>
      <diagonal/>
    </border>
    <border>
      <left style="medium">
        <color indexed="64"/>
      </left>
      <right/>
      <top style="thin">
        <color rgb="FFD9D9D9"/>
      </top>
      <bottom/>
      <diagonal/>
    </border>
    <border>
      <left style="thin">
        <color indexed="64"/>
      </left>
      <right style="thin">
        <color rgb="FFD9D9D9"/>
      </right>
      <top style="thin">
        <color rgb="FFD9D9D9"/>
      </top>
      <bottom style="thin">
        <color rgb="FFD9D9D9"/>
      </bottom>
      <diagonal/>
    </border>
  </borders>
  <cellStyleXfs count="2">
    <xf numFmtId="0" fontId="0" fillId="0" borderId="0"/>
    <xf numFmtId="0" fontId="11" fillId="0" borderId="0"/>
  </cellStyleXfs>
  <cellXfs count="174">
    <xf numFmtId="0" fontId="0" fillId="0" borderId="0" xfId="0"/>
    <xf numFmtId="0" fontId="0" fillId="0" borderId="1" xfId="0" applyBorder="1"/>
    <xf numFmtId="0" fontId="3" fillId="0" borderId="1" xfId="0" applyFont="1" applyBorder="1" applyAlignment="1">
      <alignment horizontal="center"/>
    </xf>
    <xf numFmtId="0" fontId="4" fillId="0" borderId="1" xfId="0" applyFont="1" applyBorder="1"/>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0" fillId="0" borderId="6" xfId="0" applyBorder="1" applyAlignment="1">
      <alignment horizontal="center"/>
    </xf>
    <xf numFmtId="164" fontId="0" fillId="0" borderId="2" xfId="0" applyNumberFormat="1" applyBorder="1" applyAlignment="1">
      <alignment horizontal="center"/>
    </xf>
    <xf numFmtId="0" fontId="0" fillId="0" borderId="2" xfId="0" applyBorder="1" applyAlignment="1">
      <alignment horizontal="center"/>
    </xf>
    <xf numFmtId="1" fontId="0" fillId="0" borderId="2" xfId="0" applyNumberFormat="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164" fontId="0" fillId="0" borderId="9" xfId="0" applyNumberFormat="1" applyBorder="1" applyAlignment="1">
      <alignment horizontal="center"/>
    </xf>
    <xf numFmtId="0" fontId="0" fillId="0" borderId="9" xfId="0" applyBorder="1" applyAlignment="1">
      <alignment horizontal="center"/>
    </xf>
    <xf numFmtId="1" fontId="0" fillId="0" borderId="9" xfId="0" applyNumberFormat="1" applyBorder="1" applyAlignment="1">
      <alignment horizontal="center"/>
    </xf>
    <xf numFmtId="0" fontId="0" fillId="0" borderId="10" xfId="0" applyBorder="1" applyAlignment="1">
      <alignment horizontal="center"/>
    </xf>
    <xf numFmtId="0" fontId="0" fillId="3" borderId="1" xfId="0" applyFill="1" applyBorder="1"/>
    <xf numFmtId="0" fontId="0" fillId="0" borderId="11" xfId="0" applyBorder="1"/>
    <xf numFmtId="0" fontId="0" fillId="0" borderId="12" xfId="0" applyBorder="1"/>
    <xf numFmtId="0" fontId="0" fillId="0" borderId="2" xfId="0" applyNumberFormat="1" applyBorder="1" applyAlignment="1">
      <alignment horizontal="center"/>
    </xf>
    <xf numFmtId="0" fontId="0" fillId="0" borderId="15" xfId="0" applyBorder="1"/>
    <xf numFmtId="0" fontId="0" fillId="0" borderId="17" xfId="0" applyBorder="1"/>
    <xf numFmtId="0" fontId="0" fillId="0" borderId="16" xfId="0" applyBorder="1"/>
    <xf numFmtId="0" fontId="0" fillId="0" borderId="19" xfId="0" applyBorder="1"/>
    <xf numFmtId="0" fontId="3" fillId="0" borderId="15" xfId="0" applyFont="1" applyBorder="1"/>
    <xf numFmtId="0" fontId="0" fillId="0" borderId="0" xfId="0" applyBorder="1"/>
    <xf numFmtId="0" fontId="0" fillId="0" borderId="20" xfId="0" applyBorder="1"/>
    <xf numFmtId="0" fontId="0" fillId="0" borderId="21" xfId="0" applyBorder="1"/>
    <xf numFmtId="0" fontId="0" fillId="0" borderId="14" xfId="0" applyBorder="1"/>
    <xf numFmtId="0" fontId="0" fillId="0" borderId="22" xfId="0" applyBorder="1"/>
    <xf numFmtId="0" fontId="0" fillId="0" borderId="0" xfId="0" applyBorder="1" applyAlignment="1">
      <alignment horizontal="center"/>
    </xf>
    <xf numFmtId="0" fontId="3" fillId="0" borderId="20" xfId="0" applyFont="1" applyBorder="1"/>
    <xf numFmtId="0" fontId="10" fillId="4" borderId="26" xfId="0" applyFont="1" applyFill="1" applyBorder="1" applyAlignment="1">
      <alignment horizontal="center"/>
    </xf>
    <xf numFmtId="0" fontId="10" fillId="4" borderId="27" xfId="0" applyFont="1" applyFill="1" applyBorder="1" applyAlignment="1">
      <alignment horizontal="center"/>
    </xf>
    <xf numFmtId="0" fontId="0" fillId="0" borderId="29" xfId="0" applyBorder="1" applyAlignment="1">
      <alignment horizontal="center"/>
    </xf>
    <xf numFmtId="0" fontId="0" fillId="0" borderId="24" xfId="0" applyBorder="1"/>
    <xf numFmtId="0" fontId="0" fillId="0" borderId="33" xfId="0" applyBorder="1"/>
    <xf numFmtId="0" fontId="0" fillId="0" borderId="23" xfId="0" applyBorder="1"/>
    <xf numFmtId="0" fontId="7" fillId="3" borderId="0" xfId="0" applyFont="1" applyFill="1" applyBorder="1" applyAlignment="1">
      <alignment vertical="center" wrapText="1"/>
    </xf>
    <xf numFmtId="0" fontId="7" fillId="4" borderId="26" xfId="0" applyFont="1" applyFill="1" applyBorder="1" applyAlignment="1">
      <alignment horizontal="center" vertical="center" wrapText="1"/>
    </xf>
    <xf numFmtId="0" fontId="7" fillId="4" borderId="34" xfId="0" applyFont="1" applyFill="1" applyBorder="1" applyAlignment="1">
      <alignment horizontal="center" vertical="center" wrapText="1"/>
    </xf>
    <xf numFmtId="0" fontId="7" fillId="4" borderId="27" xfId="0" applyFont="1" applyFill="1" applyBorder="1" applyAlignment="1">
      <alignment horizontal="center" vertical="center" wrapText="1"/>
    </xf>
    <xf numFmtId="0" fontId="6" fillId="7" borderId="28" xfId="0" applyFont="1" applyFill="1" applyBorder="1" applyAlignment="1">
      <alignment horizontal="center"/>
    </xf>
    <xf numFmtId="0" fontId="6" fillId="7" borderId="0" xfId="0" applyFont="1" applyFill="1" applyBorder="1" applyAlignment="1">
      <alignment horizontal="center"/>
    </xf>
    <xf numFmtId="0" fontId="6" fillId="7" borderId="29" xfId="0" applyFont="1" applyFill="1" applyBorder="1" applyAlignment="1">
      <alignment horizontal="center"/>
    </xf>
    <xf numFmtId="2" fontId="0" fillId="0" borderId="29" xfId="0" applyNumberFormat="1" applyBorder="1"/>
    <xf numFmtId="0" fontId="0" fillId="0" borderId="37" xfId="0" applyBorder="1"/>
    <xf numFmtId="2" fontId="0" fillId="0" borderId="31" xfId="0" applyNumberFormat="1" applyBorder="1"/>
    <xf numFmtId="0" fontId="14" fillId="9" borderId="35" xfId="1" applyFont="1" applyFill="1" applyBorder="1" applyAlignment="1">
      <alignment horizontal="left" vertical="center"/>
    </xf>
    <xf numFmtId="0" fontId="14" fillId="9" borderId="36" xfId="1" applyFont="1" applyFill="1" applyBorder="1" applyAlignment="1">
      <alignment horizontal="left" vertical="center"/>
    </xf>
    <xf numFmtId="0" fontId="10" fillId="4" borderId="26" xfId="0" applyFont="1" applyFill="1" applyBorder="1" applyAlignment="1">
      <alignment horizontal="center" vertical="center" wrapText="1"/>
    </xf>
    <xf numFmtId="0" fontId="10" fillId="4" borderId="34" xfId="0" applyFont="1" applyFill="1" applyBorder="1" applyAlignment="1">
      <alignment horizontal="center" vertical="center" wrapText="1"/>
    </xf>
    <xf numFmtId="0" fontId="10" fillId="4" borderId="27" xfId="0" applyFont="1" applyFill="1" applyBorder="1" applyAlignment="1">
      <alignment horizontal="center" vertical="center" wrapText="1"/>
    </xf>
    <xf numFmtId="0" fontId="6" fillId="7" borderId="28" xfId="0" applyFont="1" applyFill="1" applyBorder="1"/>
    <xf numFmtId="0" fontId="6" fillId="7" borderId="0" xfId="0" applyFont="1" applyFill="1" applyBorder="1"/>
    <xf numFmtId="0" fontId="6" fillId="7" borderId="29" xfId="0" applyFont="1" applyFill="1" applyBorder="1"/>
    <xf numFmtId="0" fontId="0" fillId="8" borderId="28" xfId="0" applyFill="1" applyBorder="1"/>
    <xf numFmtId="0" fontId="0" fillId="0" borderId="29" xfId="0" applyBorder="1"/>
    <xf numFmtId="0" fontId="0" fillId="8" borderId="30" xfId="0" applyFill="1" applyBorder="1"/>
    <xf numFmtId="0" fontId="0" fillId="0" borderId="31" xfId="0" applyBorder="1"/>
    <xf numFmtId="0" fontId="2" fillId="0" borderId="15" xfId="0" applyFont="1" applyBorder="1"/>
    <xf numFmtId="0" fontId="8" fillId="4" borderId="38" xfId="0" applyFont="1" applyFill="1" applyBorder="1" applyAlignment="1">
      <alignment horizontal="center"/>
    </xf>
    <xf numFmtId="0" fontId="8" fillId="4" borderId="39" xfId="0" applyFont="1" applyFill="1" applyBorder="1" applyAlignment="1">
      <alignment horizontal="center"/>
    </xf>
    <xf numFmtId="0" fontId="0" fillId="8" borderId="40" xfId="0" applyFont="1" applyFill="1" applyBorder="1" applyAlignment="1">
      <alignment horizontal="center"/>
    </xf>
    <xf numFmtId="14" fontId="0" fillId="0" borderId="41" xfId="0" applyNumberFormat="1" applyBorder="1" applyAlignment="1">
      <alignment horizontal="center"/>
    </xf>
    <xf numFmtId="172" fontId="0" fillId="0" borderId="42" xfId="0" applyNumberFormat="1" applyBorder="1" applyAlignment="1">
      <alignment horizontal="center"/>
    </xf>
    <xf numFmtId="0" fontId="0" fillId="8" borderId="43" xfId="0" applyFont="1" applyFill="1" applyBorder="1" applyAlignment="1">
      <alignment horizontal="center"/>
    </xf>
    <xf numFmtId="22" fontId="0" fillId="0" borderId="44" xfId="0" applyNumberFormat="1" applyBorder="1" applyAlignment="1">
      <alignment horizontal="center"/>
    </xf>
    <xf numFmtId="0" fontId="3" fillId="0" borderId="45" xfId="0" applyFont="1" applyBorder="1"/>
    <xf numFmtId="0" fontId="0" fillId="0" borderId="45" xfId="0" applyBorder="1"/>
    <xf numFmtId="0" fontId="9" fillId="8" borderId="28" xfId="0" applyFont="1" applyFill="1" applyBorder="1" applyAlignment="1">
      <alignment horizontal="center"/>
    </xf>
    <xf numFmtId="0" fontId="0" fillId="0" borderId="46" xfId="0" applyBorder="1" applyAlignment="1">
      <alignment horizontal="center"/>
    </xf>
    <xf numFmtId="2" fontId="0" fillId="0" borderId="46" xfId="0" applyNumberFormat="1" applyBorder="1" applyAlignment="1">
      <alignment horizontal="center"/>
    </xf>
    <xf numFmtId="0" fontId="0" fillId="0" borderId="47" xfId="0" applyBorder="1" applyAlignment="1">
      <alignment horizontal="center"/>
    </xf>
    <xf numFmtId="0" fontId="0" fillId="0" borderId="42" xfId="0" applyBorder="1" applyAlignment="1">
      <alignment horizontal="center"/>
    </xf>
    <xf numFmtId="0" fontId="9" fillId="8" borderId="30" xfId="0" applyFont="1" applyFill="1" applyBorder="1" applyAlignment="1">
      <alignment horizontal="center"/>
    </xf>
    <xf numFmtId="0" fontId="0" fillId="0" borderId="44" xfId="0" applyBorder="1" applyAlignment="1">
      <alignment horizontal="center"/>
    </xf>
    <xf numFmtId="0" fontId="6" fillId="0" borderId="28" xfId="0" applyFont="1" applyBorder="1"/>
    <xf numFmtId="0" fontId="6" fillId="0" borderId="0" xfId="0" applyFont="1" applyBorder="1"/>
    <xf numFmtId="0" fontId="6" fillId="0" borderId="29" xfId="0" applyFont="1" applyBorder="1"/>
    <xf numFmtId="9" fontId="0" fillId="0" borderId="0" xfId="0" applyNumberFormat="1" applyBorder="1"/>
    <xf numFmtId="9" fontId="0" fillId="0" borderId="37" xfId="0" applyNumberFormat="1" applyBorder="1"/>
    <xf numFmtId="0" fontId="0" fillId="0" borderId="0" xfId="0" applyFill="1" applyBorder="1" applyAlignment="1"/>
    <xf numFmtId="0" fontId="0" fillId="0" borderId="37" xfId="0" applyFill="1" applyBorder="1" applyAlignment="1"/>
    <xf numFmtId="0" fontId="15" fillId="0" borderId="48" xfId="0" applyFont="1" applyFill="1" applyBorder="1" applyAlignment="1">
      <alignment horizontal="center"/>
    </xf>
    <xf numFmtId="0" fontId="15" fillId="7" borderId="48" xfId="0" applyFont="1" applyFill="1" applyBorder="1" applyAlignment="1">
      <alignment horizontal="center"/>
    </xf>
    <xf numFmtId="0" fontId="16" fillId="4" borderId="26" xfId="0" applyFont="1" applyFill="1" applyBorder="1" applyAlignment="1">
      <alignment horizontal="center"/>
    </xf>
    <xf numFmtId="0" fontId="16" fillId="4" borderId="34" xfId="0" applyFont="1" applyFill="1" applyBorder="1" applyAlignment="1">
      <alignment horizontal="center"/>
    </xf>
    <xf numFmtId="0" fontId="16" fillId="4" borderId="27" xfId="0" applyFont="1" applyFill="1" applyBorder="1" applyAlignment="1">
      <alignment horizontal="center"/>
    </xf>
    <xf numFmtId="0" fontId="0" fillId="7" borderId="28" xfId="0" applyFill="1" applyBorder="1" applyAlignment="1">
      <alignment horizontal="center"/>
    </xf>
    <xf numFmtId="0" fontId="0" fillId="7" borderId="0" xfId="0" applyFill="1" applyBorder="1" applyAlignment="1">
      <alignment horizontal="center"/>
    </xf>
    <xf numFmtId="0" fontId="0" fillId="0" borderId="28" xfId="0" applyBorder="1"/>
    <xf numFmtId="0" fontId="15" fillId="7" borderId="38" xfId="0" applyFont="1" applyFill="1" applyBorder="1" applyAlignment="1">
      <alignment horizontal="center"/>
    </xf>
    <xf numFmtId="0" fontId="0" fillId="0" borderId="28" xfId="0" applyFill="1" applyBorder="1" applyAlignment="1"/>
    <xf numFmtId="0" fontId="0" fillId="0" borderId="30" xfId="0" applyFill="1" applyBorder="1" applyAlignment="1"/>
    <xf numFmtId="0" fontId="15" fillId="0" borderId="38" xfId="0" applyFont="1" applyFill="1" applyBorder="1" applyAlignment="1">
      <alignment horizontal="center"/>
    </xf>
    <xf numFmtId="0" fontId="15" fillId="0" borderId="39" xfId="0" applyFont="1" applyFill="1" applyBorder="1" applyAlignment="1">
      <alignment horizontal="center"/>
    </xf>
    <xf numFmtId="0" fontId="0" fillId="0" borderId="29" xfId="0" applyFill="1" applyBorder="1" applyAlignment="1"/>
    <xf numFmtId="0" fontId="0" fillId="0" borderId="31" xfId="0" applyFill="1" applyBorder="1" applyAlignment="1"/>
    <xf numFmtId="0" fontId="0" fillId="0" borderId="8" xfId="0" applyFill="1" applyBorder="1" applyAlignment="1"/>
    <xf numFmtId="0" fontId="0" fillId="0" borderId="13" xfId="0" applyFill="1" applyBorder="1" applyAlignment="1"/>
    <xf numFmtId="0" fontId="0" fillId="0" borderId="32" xfId="0" applyFill="1" applyBorder="1" applyAlignment="1"/>
    <xf numFmtId="0" fontId="15" fillId="0" borderId="49" xfId="0" applyFont="1" applyFill="1" applyBorder="1" applyAlignment="1">
      <alignment horizontal="center"/>
    </xf>
    <xf numFmtId="0" fontId="0" fillId="7" borderId="29" xfId="0" applyFill="1" applyBorder="1" applyAlignment="1">
      <alignment horizontal="center"/>
    </xf>
    <xf numFmtId="0" fontId="1" fillId="0" borderId="15" xfId="0" applyFont="1" applyBorder="1"/>
    <xf numFmtId="0" fontId="17" fillId="10" borderId="26" xfId="0" applyFont="1" applyFill="1" applyBorder="1" applyAlignment="1">
      <alignment horizontal="center"/>
    </xf>
    <xf numFmtId="0" fontId="17" fillId="10" borderId="34" xfId="0" applyFont="1" applyFill="1" applyBorder="1" applyAlignment="1">
      <alignment horizontal="center"/>
    </xf>
    <xf numFmtId="0" fontId="17" fillId="10" borderId="27" xfId="0" applyFont="1" applyFill="1" applyBorder="1" applyAlignment="1">
      <alignment horizontal="center"/>
    </xf>
    <xf numFmtId="0" fontId="0" fillId="0" borderId="50" xfId="0" applyBorder="1"/>
    <xf numFmtId="0" fontId="0" fillId="0" borderId="51" xfId="0" applyBorder="1"/>
    <xf numFmtId="0" fontId="0" fillId="0" borderId="52" xfId="0" applyBorder="1"/>
    <xf numFmtId="0" fontId="0" fillId="0" borderId="30" xfId="0" applyBorder="1"/>
    <xf numFmtId="0" fontId="0" fillId="0" borderId="28" xfId="0" pivotButton="1" applyBorder="1"/>
    <xf numFmtId="0" fontId="0" fillId="0" borderId="28" xfId="0" applyBorder="1" applyAlignment="1">
      <alignment horizontal="left"/>
    </xf>
    <xf numFmtId="0" fontId="0" fillId="0" borderId="29" xfId="0" applyNumberFormat="1" applyBorder="1"/>
    <xf numFmtId="0" fontId="0" fillId="0" borderId="30" xfId="0" applyBorder="1" applyAlignment="1">
      <alignment horizontal="left"/>
    </xf>
    <xf numFmtId="0" fontId="0" fillId="0" borderId="31" xfId="0" applyNumberFormat="1" applyBorder="1"/>
    <xf numFmtId="0" fontId="18" fillId="4" borderId="26" xfId="0" applyFont="1" applyFill="1" applyBorder="1" applyAlignment="1">
      <alignment horizontal="center"/>
    </xf>
    <xf numFmtId="0" fontId="18" fillId="4" borderId="27" xfId="0" applyFont="1" applyFill="1" applyBorder="1" applyAlignment="1">
      <alignment horizontal="center"/>
    </xf>
    <xf numFmtId="0" fontId="0" fillId="0" borderId="53" xfId="0" applyNumberFormat="1" applyBorder="1"/>
    <xf numFmtId="0" fontId="0" fillId="0" borderId="54" xfId="0" applyNumberFormat="1" applyBorder="1"/>
    <xf numFmtId="0" fontId="0" fillId="0" borderId="55" xfId="0" applyNumberFormat="1" applyBorder="1"/>
    <xf numFmtId="0" fontId="0" fillId="0" borderId="25" xfId="0" pivotButton="1" applyBorder="1"/>
    <xf numFmtId="0" fontId="0" fillId="0" borderId="53" xfId="0" applyBorder="1" applyAlignment="1">
      <alignment horizontal="left"/>
    </xf>
    <xf numFmtId="0" fontId="0" fillId="0" borderId="55" xfId="0" applyBorder="1" applyAlignment="1">
      <alignment horizontal="left"/>
    </xf>
    <xf numFmtId="0" fontId="0" fillId="0" borderId="25" xfId="0" applyBorder="1" applyAlignment="1">
      <alignment horizontal="left"/>
    </xf>
    <xf numFmtId="0" fontId="0" fillId="0" borderId="25" xfId="0" applyBorder="1"/>
    <xf numFmtId="0" fontId="0" fillId="0" borderId="54" xfId="0" applyBorder="1" applyAlignment="1">
      <alignment horizontal="left"/>
    </xf>
    <xf numFmtId="0" fontId="19" fillId="11" borderId="26" xfId="0" applyFont="1" applyFill="1" applyBorder="1" applyAlignment="1">
      <alignment horizontal="center"/>
    </xf>
    <xf numFmtId="0" fontId="19" fillId="11" borderId="34" xfId="0" applyFont="1" applyFill="1" applyBorder="1" applyAlignment="1">
      <alignment horizontal="center"/>
    </xf>
    <xf numFmtId="0" fontId="19" fillId="11" borderId="27" xfId="0" applyFont="1" applyFill="1" applyBorder="1" applyAlignment="1">
      <alignment horizontal="center"/>
    </xf>
    <xf numFmtId="0" fontId="0" fillId="0" borderId="56" xfId="0" applyBorder="1"/>
    <xf numFmtId="0" fontId="0" fillId="0" borderId="57" xfId="0" applyBorder="1"/>
    <xf numFmtId="0" fontId="20" fillId="4" borderId="20" xfId="0" applyFont="1" applyFill="1" applyBorder="1" applyAlignment="1">
      <alignment horizontal="center"/>
    </xf>
    <xf numFmtId="0" fontId="20" fillId="4" borderId="16" xfId="0" applyFont="1" applyFill="1" applyBorder="1" applyAlignment="1">
      <alignment horizontal="center"/>
    </xf>
    <xf numFmtId="0" fontId="20" fillId="12" borderId="23" xfId="0" applyFont="1" applyFill="1" applyBorder="1" applyAlignment="1">
      <alignment horizontal="center"/>
    </xf>
    <xf numFmtId="0" fontId="20" fillId="12" borderId="0" xfId="0" applyFont="1" applyFill="1" applyBorder="1" applyAlignment="1">
      <alignment horizontal="center"/>
    </xf>
    <xf numFmtId="0" fontId="20" fillId="3" borderId="23" xfId="0" applyFont="1" applyFill="1" applyBorder="1" applyAlignment="1">
      <alignment horizontal="center"/>
    </xf>
    <xf numFmtId="0" fontId="20" fillId="3" borderId="0" xfId="0" applyFont="1" applyFill="1" applyBorder="1" applyAlignment="1">
      <alignment horizontal="center"/>
    </xf>
    <xf numFmtId="0" fontId="20" fillId="3" borderId="20" xfId="0" applyFont="1" applyFill="1" applyBorder="1" applyAlignment="1"/>
    <xf numFmtId="0" fontId="20" fillId="3" borderId="16" xfId="0" applyFont="1" applyFill="1" applyBorder="1" applyAlignment="1"/>
    <xf numFmtId="0" fontId="21" fillId="12" borderId="23" xfId="0" applyFont="1" applyFill="1" applyBorder="1" applyAlignment="1">
      <alignment horizontal="center" vertical="center"/>
    </xf>
    <xf numFmtId="0" fontId="21" fillId="12" borderId="0" xfId="0" applyFont="1" applyFill="1" applyBorder="1" applyAlignment="1">
      <alignment horizontal="center" vertical="center"/>
    </xf>
    <xf numFmtId="188" fontId="21" fillId="4" borderId="24" xfId="0" applyNumberFormat="1" applyFont="1" applyFill="1" applyBorder="1" applyAlignment="1">
      <alignment horizontal="center" vertical="center"/>
    </xf>
    <xf numFmtId="188" fontId="21" fillId="4" borderId="14" xfId="0" applyNumberFormat="1" applyFont="1" applyFill="1" applyBorder="1" applyAlignment="1">
      <alignment horizontal="center" vertical="center"/>
    </xf>
    <xf numFmtId="188" fontId="21" fillId="4" borderId="33" xfId="0" applyNumberFormat="1" applyFont="1" applyFill="1" applyBorder="1" applyAlignment="1">
      <alignment horizontal="center" vertical="center"/>
    </xf>
    <xf numFmtId="188" fontId="21" fillId="4" borderId="45" xfId="0" applyNumberFormat="1" applyFont="1" applyFill="1" applyBorder="1" applyAlignment="1">
      <alignment horizontal="center" vertical="center"/>
    </xf>
    <xf numFmtId="188" fontId="21" fillId="4" borderId="18" xfId="0" applyNumberFormat="1" applyFont="1" applyFill="1" applyBorder="1" applyAlignment="1">
      <alignment horizontal="center" vertical="center"/>
    </xf>
    <xf numFmtId="0" fontId="12" fillId="5" borderId="26" xfId="0" applyFont="1" applyFill="1" applyBorder="1" applyAlignment="1">
      <alignment horizontal="center" vertical="center"/>
    </xf>
    <xf numFmtId="0" fontId="12" fillId="5" borderId="34" xfId="0" applyFont="1" applyFill="1" applyBorder="1" applyAlignment="1">
      <alignment horizontal="center" vertical="center"/>
    </xf>
    <xf numFmtId="0" fontId="12" fillId="5" borderId="27" xfId="0" applyFont="1" applyFill="1" applyBorder="1" applyAlignment="1">
      <alignment horizontal="center" vertical="center"/>
    </xf>
    <xf numFmtId="0" fontId="12" fillId="5" borderId="28" xfId="0" applyFont="1" applyFill="1" applyBorder="1" applyAlignment="1">
      <alignment horizontal="center" vertical="center"/>
    </xf>
    <xf numFmtId="0" fontId="12" fillId="5" borderId="0" xfId="0" applyFont="1" applyFill="1" applyBorder="1" applyAlignment="1">
      <alignment horizontal="center" vertical="center"/>
    </xf>
    <xf numFmtId="0" fontId="12" fillId="5" borderId="29" xfId="0" applyFont="1" applyFill="1" applyBorder="1" applyAlignment="1">
      <alignment horizontal="center" vertical="center"/>
    </xf>
    <xf numFmtId="0" fontId="13" fillId="6" borderId="28" xfId="0" applyFont="1" applyFill="1" applyBorder="1" applyAlignment="1">
      <alignment horizontal="center" vertical="center"/>
    </xf>
    <xf numFmtId="0" fontId="13" fillId="6" borderId="0" xfId="0" applyFont="1" applyFill="1" applyBorder="1" applyAlignment="1">
      <alignment horizontal="center" vertical="center"/>
    </xf>
    <xf numFmtId="0" fontId="13" fillId="6" borderId="29" xfId="0" applyFont="1" applyFill="1" applyBorder="1" applyAlignment="1">
      <alignment horizontal="center" vertical="center"/>
    </xf>
    <xf numFmtId="0" fontId="0" fillId="0" borderId="58" xfId="0" applyBorder="1"/>
    <xf numFmtId="0" fontId="20" fillId="4" borderId="59" xfId="0" applyFont="1" applyFill="1" applyBorder="1" applyAlignment="1">
      <alignment horizontal="center"/>
    </xf>
    <xf numFmtId="0" fontId="20" fillId="13" borderId="0" xfId="0" applyFont="1" applyFill="1" applyBorder="1" applyAlignment="1">
      <alignment horizontal="center"/>
    </xf>
    <xf numFmtId="0" fontId="20" fillId="4" borderId="0" xfId="0" applyFont="1" applyFill="1" applyBorder="1" applyAlignment="1">
      <alignment horizontal="center"/>
    </xf>
    <xf numFmtId="0" fontId="20" fillId="4" borderId="29" xfId="0" applyFont="1" applyFill="1" applyBorder="1" applyAlignment="1">
      <alignment horizontal="center"/>
    </xf>
    <xf numFmtId="0" fontId="20" fillId="3" borderId="59" xfId="0" applyFont="1" applyFill="1" applyBorder="1" applyAlignment="1"/>
    <xf numFmtId="0" fontId="0" fillId="3" borderId="0" xfId="0" applyFill="1" applyBorder="1"/>
    <xf numFmtId="0" fontId="20" fillId="3" borderId="29" xfId="0" applyFont="1" applyFill="1" applyBorder="1" applyAlignment="1">
      <alignment horizontal="center"/>
    </xf>
    <xf numFmtId="188" fontId="21" fillId="4" borderId="60" xfId="0" applyNumberFormat="1" applyFont="1" applyFill="1" applyBorder="1" applyAlignment="1">
      <alignment horizontal="center" vertical="center"/>
    </xf>
    <xf numFmtId="0" fontId="21" fillId="13" borderId="0" xfId="0" applyFont="1" applyFill="1" applyBorder="1" applyAlignment="1">
      <alignment horizontal="center" vertical="center"/>
    </xf>
    <xf numFmtId="2" fontId="21" fillId="4" borderId="0" xfId="0" applyNumberFormat="1" applyFont="1" applyFill="1" applyBorder="1" applyAlignment="1">
      <alignment horizontal="center" vertical="center"/>
    </xf>
    <xf numFmtId="2" fontId="21" fillId="4" borderId="29" xfId="0" applyNumberFormat="1" applyFont="1" applyFill="1" applyBorder="1" applyAlignment="1">
      <alignment horizontal="center" vertical="center"/>
    </xf>
    <xf numFmtId="188" fontId="21" fillId="4" borderId="28" xfId="0" applyNumberFormat="1" applyFont="1" applyFill="1" applyBorder="1" applyAlignment="1">
      <alignment horizontal="center" vertical="center"/>
    </xf>
    <xf numFmtId="188" fontId="21" fillId="4" borderId="0" xfId="0" applyNumberFormat="1" applyFont="1" applyFill="1" applyBorder="1" applyAlignment="1">
      <alignment horizontal="center" vertical="center"/>
    </xf>
    <xf numFmtId="188" fontId="21" fillId="4" borderId="50" xfId="0" applyNumberFormat="1" applyFont="1" applyFill="1" applyBorder="1" applyAlignment="1">
      <alignment horizontal="center" vertical="center"/>
    </xf>
    <xf numFmtId="0" fontId="0" fillId="0" borderId="61" xfId="0" applyBorder="1"/>
  </cellXfs>
  <cellStyles count="2">
    <cellStyle name="Normal" xfId="0" builtinId="0"/>
    <cellStyle name="Normal 2" xfId="1" xr:uid="{E68CDE7F-51C4-45C8-B3CC-39D611B72E92}"/>
  </cellStyles>
  <dxfs count="880">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center" textRotation="0" wrapText="0" indent="0" justifyLastLine="0" shrinkToFit="0" readingOrder="0"/>
    </dxf>
    <dxf>
      <border>
        <bottom style="thin">
          <color indexed="64"/>
        </bottom>
      </border>
    </dxf>
    <dxf>
      <font>
        <b/>
        <family val="2"/>
      </font>
      <alignment horizont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colors>
    <mruColors>
      <color rgb="FFE4E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[final_pr.xlsx]Visualizations!PivotTable1</c:name>
    <c:fmtId val="2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Visualizations!$D$4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Visualizations!$C$5:$C$8</c:f>
              <c:strCache>
                <c:ptCount val="3"/>
                <c:pt idx="0">
                  <c:v>Appliances</c:v>
                </c:pt>
                <c:pt idx="1">
                  <c:v>Electronics</c:v>
                </c:pt>
                <c:pt idx="2">
                  <c:v>Furniture</c:v>
                </c:pt>
              </c:strCache>
            </c:strRef>
          </c:cat>
          <c:val>
            <c:numRef>
              <c:f>Visualizations!$D$5:$D$8</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0-E579-40EF-B735-2E7A0C089C66}"/>
            </c:ext>
          </c:extLst>
        </c:ser>
        <c:dLbls>
          <c:showLegendKey val="0"/>
          <c:showVal val="1"/>
          <c:showCatName val="0"/>
          <c:showSerName val="0"/>
          <c:showPercent val="0"/>
          <c:showBubbleSize val="0"/>
        </c:dLbls>
        <c:gapWidth val="100"/>
        <c:overlap val="-24"/>
        <c:axId val="1625875535"/>
        <c:axId val="1625874095"/>
      </c:barChart>
      <c:catAx>
        <c:axId val="16258755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874095"/>
        <c:crosses val="autoZero"/>
        <c:auto val="1"/>
        <c:lblAlgn val="ctr"/>
        <c:lblOffset val="100"/>
        <c:noMultiLvlLbl val="0"/>
      </c:catAx>
      <c:valAx>
        <c:axId val="1625874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875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[final_pr.xlsx]Visualizations!PivotTable2</c:name>
    <c:fmtId val="21"/>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Revenue by Region</a:t>
            </a:r>
            <a:endParaRPr lang="en-US"/>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Visualizations!$G$4</c:f>
              <c:strCache>
                <c:ptCount val="1"/>
                <c:pt idx="0">
                  <c:v>Total</c:v>
                </c:pt>
              </c:strCache>
            </c:strRef>
          </c:tx>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Visualizations!$F$5:$F$10</c:f>
              <c:strCache>
                <c:ptCount val="5"/>
                <c:pt idx="0">
                  <c:v>Central</c:v>
                </c:pt>
                <c:pt idx="1">
                  <c:v>East</c:v>
                </c:pt>
                <c:pt idx="2">
                  <c:v>North</c:v>
                </c:pt>
                <c:pt idx="3">
                  <c:v>South</c:v>
                </c:pt>
                <c:pt idx="4">
                  <c:v>West</c:v>
                </c:pt>
              </c:strCache>
            </c:strRef>
          </c:cat>
          <c:val>
            <c:numRef>
              <c:f>Visualizations!$G$5:$G$10</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5BBE-4FDA-A680-211D1488E2BD}"/>
            </c:ext>
          </c:extLst>
        </c:ser>
        <c:dLbls>
          <c:dLblPos val="inEnd"/>
          <c:showLegendKey val="0"/>
          <c:showVal val="1"/>
          <c:showCatName val="0"/>
          <c:showSerName val="0"/>
          <c:showPercent val="0"/>
          <c:showBubbleSize val="0"/>
        </c:dLbls>
        <c:gapWidth val="41"/>
        <c:axId val="1758123023"/>
        <c:axId val="1758123503"/>
      </c:barChart>
      <c:catAx>
        <c:axId val="1758123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758123503"/>
        <c:crosses val="autoZero"/>
        <c:auto val="1"/>
        <c:lblAlgn val="ctr"/>
        <c:lblOffset val="100"/>
        <c:noMultiLvlLbl val="0"/>
      </c:catAx>
      <c:valAx>
        <c:axId val="1758123503"/>
        <c:scaling>
          <c:orientation val="minMax"/>
        </c:scaling>
        <c:delete val="1"/>
        <c:axPos val="l"/>
        <c:numFmt formatCode="General" sourceLinked="1"/>
        <c:majorTickMark val="none"/>
        <c:minorTickMark val="none"/>
        <c:tickLblPos val="nextTo"/>
        <c:crossAx val="175812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[final_pr.xlsx]Visualizations!PivotTable3</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Revenue by Payment Method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Visualizations!$J$4</c:f>
              <c:strCache>
                <c:ptCount val="1"/>
                <c:pt idx="0">
                  <c:v>Total</c:v>
                </c:pt>
              </c:strCache>
            </c:strRef>
          </c:tx>
          <c:dPt>
            <c:idx val="0"/>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1"/>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2"/>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3"/>
            <c:bubble3D val="0"/>
            <c:spPr>
              <a:solidFill>
                <a:schemeClr val="accent2">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Pt>
          <c:dLbls>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Visualizations!$I$5:$I$9</c:f>
              <c:strCache>
                <c:ptCount val="4"/>
                <c:pt idx="0">
                  <c:v>Cash</c:v>
                </c:pt>
                <c:pt idx="1">
                  <c:v>Credit Card</c:v>
                </c:pt>
                <c:pt idx="2">
                  <c:v>Debit Card</c:v>
                </c:pt>
                <c:pt idx="3">
                  <c:v>PayPal</c:v>
                </c:pt>
              </c:strCache>
            </c:strRef>
          </c:cat>
          <c:val>
            <c:numRef>
              <c:f>Visualizations!$J$5:$J$9</c:f>
              <c:numCache>
                <c:formatCode>General</c:formatCode>
                <c:ptCount val="4"/>
                <c:pt idx="0">
                  <c:v>57427.790000000023</c:v>
                </c:pt>
                <c:pt idx="1">
                  <c:v>61447.960000000014</c:v>
                </c:pt>
                <c:pt idx="2">
                  <c:v>52118.310000000005</c:v>
                </c:pt>
                <c:pt idx="3">
                  <c:v>58198.409999999996</c:v>
                </c:pt>
              </c:numCache>
            </c:numRef>
          </c:val>
          <c:extLst>
            <c:ext xmlns:c16="http://schemas.microsoft.com/office/drawing/2014/chart" uri="{C3380CC4-5D6E-409C-BE32-E72D297353CC}">
              <c16:uniqueId val="{00000000-AED4-4594-8D00-DF6CE34119CB}"/>
            </c:ext>
          </c:extLst>
        </c:ser>
        <c:dLbls>
          <c:dLblPos val="inEnd"/>
          <c:showLegendKey val="0"/>
          <c:showVal val="0"/>
          <c:showCatName val="0"/>
          <c:showSerName val="0"/>
          <c:showPercent val="1"/>
          <c:showBubbleSize val="0"/>
          <c:showLeaderLines val="0"/>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[final_pr.xlsx]Visualizations!PivotTable4</c:name>
    <c:fmtId val="1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Top 10 Customers</a:t>
            </a:r>
            <a:endParaRPr lang="en-US"/>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2"/>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Visualizations!$M$4</c:f>
              <c:strCache>
                <c:ptCount val="1"/>
                <c:pt idx="0">
                  <c:v>Total</c:v>
                </c:pt>
              </c:strCache>
            </c:strRef>
          </c:tx>
          <c:spPr>
            <a:solidFill>
              <a:schemeClr val="accent2"/>
            </a:solidFill>
            <a:ln>
              <a:noFill/>
            </a:ln>
            <a:effectLst/>
          </c:spPr>
          <c:invertIfNegative val="0"/>
          <c:cat>
            <c:strRef>
              <c:f>Visualizations!$L$5:$L$15</c:f>
              <c:strCache>
                <c:ptCount val="10"/>
                <c:pt idx="0">
                  <c:v>Paul Baker</c:v>
                </c:pt>
                <c:pt idx="1">
                  <c:v>Patricia Moore</c:v>
                </c:pt>
                <c:pt idx="2">
                  <c:v>Mark Carter</c:v>
                </c:pt>
                <c:pt idx="3">
                  <c:v>Lawrence Reed</c:v>
                </c:pt>
                <c:pt idx="4">
                  <c:v>Karen Hill</c:v>
                </c:pt>
                <c:pt idx="5">
                  <c:v>Joseph Jackson</c:v>
                </c:pt>
                <c:pt idx="6">
                  <c:v>Edward Mitchell</c:v>
                </c:pt>
                <c:pt idx="7">
                  <c:v>Dorothy Nelson</c:v>
                </c:pt>
                <c:pt idx="8">
                  <c:v>Daniel King</c:v>
                </c:pt>
                <c:pt idx="9">
                  <c:v>Barbara Young</c:v>
                </c:pt>
              </c:strCache>
            </c:strRef>
          </c:cat>
          <c:val>
            <c:numRef>
              <c:f>Visualizations!$M$5:$M$15</c:f>
              <c:numCache>
                <c:formatCode>General</c:formatCode>
                <c:ptCount val="10"/>
                <c:pt idx="0">
                  <c:v>8309.739999999998</c:v>
                </c:pt>
                <c:pt idx="1">
                  <c:v>9799.73</c:v>
                </c:pt>
                <c:pt idx="2">
                  <c:v>15659.65</c:v>
                </c:pt>
                <c:pt idx="3">
                  <c:v>6989.7699999999986</c:v>
                </c:pt>
                <c:pt idx="4">
                  <c:v>8009.7699999999995</c:v>
                </c:pt>
                <c:pt idx="5">
                  <c:v>6949.84</c:v>
                </c:pt>
                <c:pt idx="6">
                  <c:v>11919.769999999999</c:v>
                </c:pt>
                <c:pt idx="7">
                  <c:v>8269.7900000000009</c:v>
                </c:pt>
                <c:pt idx="8">
                  <c:v>7309.7999999999993</c:v>
                </c:pt>
                <c:pt idx="9">
                  <c:v>10649.8</c:v>
                </c:pt>
              </c:numCache>
            </c:numRef>
          </c:val>
          <c:extLst>
            <c:ext xmlns:c16="http://schemas.microsoft.com/office/drawing/2014/chart" uri="{C3380CC4-5D6E-409C-BE32-E72D297353CC}">
              <c16:uniqueId val="{00000000-E160-491B-AD0D-1761A1CF3AA0}"/>
            </c:ext>
          </c:extLst>
        </c:ser>
        <c:dLbls>
          <c:showLegendKey val="0"/>
          <c:showVal val="0"/>
          <c:showCatName val="0"/>
          <c:showSerName val="0"/>
          <c:showPercent val="0"/>
          <c:showBubbleSize val="0"/>
        </c:dLbls>
        <c:gapWidth val="199"/>
        <c:axId val="2022159679"/>
        <c:axId val="2022160159"/>
      </c:barChart>
      <c:catAx>
        <c:axId val="2022159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022160159"/>
        <c:crosses val="autoZero"/>
        <c:auto val="1"/>
        <c:lblAlgn val="ctr"/>
        <c:lblOffset val="100"/>
        <c:noMultiLvlLbl val="0"/>
      </c:catAx>
      <c:valAx>
        <c:axId val="202216015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159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[final_pr.xlsx]Visualizations!PivotTable5</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Monthly Revenue Trend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58092738407699"/>
          <c:y val="0.2183437234923338"/>
          <c:w val="0.70925196850393701"/>
          <c:h val="0.65201332713866356"/>
        </c:manualLayout>
      </c:layout>
      <c:lineChart>
        <c:grouping val="standard"/>
        <c:varyColors val="0"/>
        <c:ser>
          <c:idx val="0"/>
          <c:order val="0"/>
          <c:tx>
            <c:strRef>
              <c:f>Visualizations!$P$4</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cat>
            <c:strRef>
              <c:f>Visualizations!$O$5:$O$13</c:f>
              <c:strCache>
                <c:ptCount val="9"/>
                <c:pt idx="0">
                  <c:v>Apr</c:v>
                </c:pt>
                <c:pt idx="1">
                  <c:v>May</c:v>
                </c:pt>
                <c:pt idx="2">
                  <c:v>Jun</c:v>
                </c:pt>
                <c:pt idx="3">
                  <c:v>Jul</c:v>
                </c:pt>
                <c:pt idx="4">
                  <c:v>Aug</c:v>
                </c:pt>
                <c:pt idx="5">
                  <c:v>Sep</c:v>
                </c:pt>
                <c:pt idx="6">
                  <c:v>Oct</c:v>
                </c:pt>
                <c:pt idx="7">
                  <c:v>Nov</c:v>
                </c:pt>
                <c:pt idx="8">
                  <c:v>Dec</c:v>
                </c:pt>
              </c:strCache>
            </c:strRef>
          </c:cat>
          <c:val>
            <c:numRef>
              <c:f>Visualizations!$P$5:$P$13</c:f>
              <c:numCache>
                <c:formatCode>General</c:formatCode>
                <c:ptCount val="9"/>
                <c:pt idx="0">
                  <c:v>17419.38</c:v>
                </c:pt>
                <c:pt idx="1">
                  <c:v>32708.930000000008</c:v>
                </c:pt>
                <c:pt idx="2">
                  <c:v>20609.279999999995</c:v>
                </c:pt>
                <c:pt idx="3">
                  <c:v>25599.110000000011</c:v>
                </c:pt>
                <c:pt idx="4">
                  <c:v>32479.070000000003</c:v>
                </c:pt>
                <c:pt idx="5">
                  <c:v>28489.09</c:v>
                </c:pt>
                <c:pt idx="6">
                  <c:v>28939.02</c:v>
                </c:pt>
                <c:pt idx="7">
                  <c:v>27369.05</c:v>
                </c:pt>
                <c:pt idx="8">
                  <c:v>15579.539999999995</c:v>
                </c:pt>
              </c:numCache>
            </c:numRef>
          </c:val>
          <c:smooth val="0"/>
          <c:extLst>
            <c:ext xmlns:c16="http://schemas.microsoft.com/office/drawing/2014/chart" uri="{C3380CC4-5D6E-409C-BE32-E72D297353CC}">
              <c16:uniqueId val="{00000002-15BD-43F7-B9F9-40514F917934}"/>
            </c:ext>
          </c:extLst>
        </c:ser>
        <c:dLbls>
          <c:dLblPos val="ctr"/>
          <c:showLegendKey val="0"/>
          <c:showVal val="0"/>
          <c:showCatName val="0"/>
          <c:showSerName val="0"/>
          <c:showPercent val="0"/>
          <c:showBubbleSize val="0"/>
        </c:dLbls>
        <c:marker val="1"/>
        <c:smooth val="0"/>
        <c:axId val="2022154879"/>
        <c:axId val="2022161599"/>
      </c:lineChart>
      <c:catAx>
        <c:axId val="20221548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22161599"/>
        <c:crosses val="autoZero"/>
        <c:auto val="1"/>
        <c:lblAlgn val="ctr"/>
        <c:lblOffset val="100"/>
        <c:noMultiLvlLbl val="0"/>
      </c:catAx>
      <c:valAx>
        <c:axId val="202216159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02215487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[final_pr.xlsx]Visualizations!PivotTable1</c:name>
    <c:fmtId val="3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Visualizations!$D$4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Visualizations!$C$5:$C$8</c:f>
              <c:strCache>
                <c:ptCount val="3"/>
                <c:pt idx="0">
                  <c:v>Appliances</c:v>
                </c:pt>
                <c:pt idx="1">
                  <c:v>Electronics</c:v>
                </c:pt>
                <c:pt idx="2">
                  <c:v>Furniture</c:v>
                </c:pt>
              </c:strCache>
            </c:strRef>
          </c:cat>
          <c:val>
            <c:numRef>
              <c:f>Visualizations!$D$5:$D$8</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0-A54E-40F0-8FEC-B6DD76F5E1F7}"/>
            </c:ext>
          </c:extLst>
        </c:ser>
        <c:dLbls>
          <c:showLegendKey val="0"/>
          <c:showVal val="1"/>
          <c:showCatName val="0"/>
          <c:showSerName val="0"/>
          <c:showPercent val="0"/>
          <c:showBubbleSize val="0"/>
        </c:dLbls>
        <c:gapWidth val="100"/>
        <c:overlap val="-24"/>
        <c:axId val="1625875535"/>
        <c:axId val="1625874095"/>
      </c:barChart>
      <c:catAx>
        <c:axId val="16258755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874095"/>
        <c:crosses val="autoZero"/>
        <c:auto val="1"/>
        <c:lblAlgn val="ctr"/>
        <c:lblOffset val="100"/>
        <c:noMultiLvlLbl val="0"/>
      </c:catAx>
      <c:valAx>
        <c:axId val="1625874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875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[final_pr.xlsx]Visualizations!PivotTable2</c:name>
    <c:fmtId val="28"/>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Revenue by Region</a:t>
            </a:r>
            <a:endParaRPr lang="en-US"/>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Visualizations!$G$4</c:f>
              <c:strCache>
                <c:ptCount val="1"/>
                <c:pt idx="0">
                  <c:v>Total</c:v>
                </c:pt>
              </c:strCache>
            </c:strRef>
          </c:tx>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Visualizations!$F$5:$F$10</c:f>
              <c:strCache>
                <c:ptCount val="5"/>
                <c:pt idx="0">
                  <c:v>Central</c:v>
                </c:pt>
                <c:pt idx="1">
                  <c:v>East</c:v>
                </c:pt>
                <c:pt idx="2">
                  <c:v>North</c:v>
                </c:pt>
                <c:pt idx="3">
                  <c:v>South</c:v>
                </c:pt>
                <c:pt idx="4">
                  <c:v>West</c:v>
                </c:pt>
              </c:strCache>
            </c:strRef>
          </c:cat>
          <c:val>
            <c:numRef>
              <c:f>Visualizations!$G$5:$G$10</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6B66-47AF-B9D8-7F566035D5CB}"/>
            </c:ext>
          </c:extLst>
        </c:ser>
        <c:dLbls>
          <c:dLblPos val="inEnd"/>
          <c:showLegendKey val="0"/>
          <c:showVal val="1"/>
          <c:showCatName val="0"/>
          <c:showSerName val="0"/>
          <c:showPercent val="0"/>
          <c:showBubbleSize val="0"/>
        </c:dLbls>
        <c:gapWidth val="41"/>
        <c:axId val="1758123023"/>
        <c:axId val="1758123503"/>
      </c:barChart>
      <c:catAx>
        <c:axId val="1758123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758123503"/>
        <c:crosses val="autoZero"/>
        <c:auto val="1"/>
        <c:lblAlgn val="ctr"/>
        <c:lblOffset val="100"/>
        <c:noMultiLvlLbl val="0"/>
      </c:catAx>
      <c:valAx>
        <c:axId val="1758123503"/>
        <c:scaling>
          <c:orientation val="minMax"/>
        </c:scaling>
        <c:delete val="1"/>
        <c:axPos val="l"/>
        <c:numFmt formatCode="General" sourceLinked="1"/>
        <c:majorTickMark val="none"/>
        <c:minorTickMark val="none"/>
        <c:tickLblPos val="nextTo"/>
        <c:crossAx val="175812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[final_pr.xlsx]Visualizations!PivotTable3</c:name>
    <c:fmtId val="1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Revenue by Payment Method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Visualizations!$J$4</c:f>
              <c:strCache>
                <c:ptCount val="1"/>
                <c:pt idx="0">
                  <c:v>Total</c:v>
                </c:pt>
              </c:strCache>
            </c:strRef>
          </c:tx>
          <c:dPt>
            <c:idx val="0"/>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98D0-4166-88D7-8740751044FA}"/>
              </c:ext>
            </c:extLst>
          </c:dPt>
          <c:dPt>
            <c:idx val="1"/>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98D0-4166-88D7-8740751044FA}"/>
              </c:ext>
            </c:extLst>
          </c:dPt>
          <c:dPt>
            <c:idx val="2"/>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98D0-4166-88D7-8740751044FA}"/>
              </c:ext>
            </c:extLst>
          </c:dPt>
          <c:dPt>
            <c:idx val="3"/>
            <c:bubble3D val="0"/>
            <c:spPr>
              <a:solidFill>
                <a:schemeClr val="accent2">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98D0-4166-88D7-8740751044FA}"/>
              </c:ext>
            </c:extLst>
          </c:dPt>
          <c:dLbls>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Visualizations!$I$5:$I$9</c:f>
              <c:strCache>
                <c:ptCount val="4"/>
                <c:pt idx="0">
                  <c:v>Cash</c:v>
                </c:pt>
                <c:pt idx="1">
                  <c:v>Credit Card</c:v>
                </c:pt>
                <c:pt idx="2">
                  <c:v>Debit Card</c:v>
                </c:pt>
                <c:pt idx="3">
                  <c:v>PayPal</c:v>
                </c:pt>
              </c:strCache>
            </c:strRef>
          </c:cat>
          <c:val>
            <c:numRef>
              <c:f>Visualizations!$J$5:$J$9</c:f>
              <c:numCache>
                <c:formatCode>General</c:formatCode>
                <c:ptCount val="4"/>
                <c:pt idx="0">
                  <c:v>57427.790000000023</c:v>
                </c:pt>
                <c:pt idx="1">
                  <c:v>61447.960000000014</c:v>
                </c:pt>
                <c:pt idx="2">
                  <c:v>52118.310000000005</c:v>
                </c:pt>
                <c:pt idx="3">
                  <c:v>58198.409999999996</c:v>
                </c:pt>
              </c:numCache>
            </c:numRef>
          </c:val>
          <c:extLst>
            <c:ext xmlns:c16="http://schemas.microsoft.com/office/drawing/2014/chart" uri="{C3380CC4-5D6E-409C-BE32-E72D297353CC}">
              <c16:uniqueId val="{00000008-98D0-4166-88D7-8740751044FA}"/>
            </c:ext>
          </c:extLst>
        </c:ser>
        <c:dLbls>
          <c:dLblPos val="inEnd"/>
          <c:showLegendKey val="0"/>
          <c:showVal val="0"/>
          <c:showCatName val="0"/>
          <c:showSerName val="0"/>
          <c:showPercent val="1"/>
          <c:showBubbleSize val="0"/>
          <c:showLeaderLines val="0"/>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[final_pr.xlsx]Visualizations!PivotTable5</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Monthly Revenue Trend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58092738407699"/>
          <c:y val="0.2183437234923338"/>
          <c:w val="0.70925196850393701"/>
          <c:h val="0.65201332713866356"/>
        </c:manualLayout>
      </c:layout>
      <c:lineChart>
        <c:grouping val="standard"/>
        <c:varyColors val="0"/>
        <c:ser>
          <c:idx val="0"/>
          <c:order val="0"/>
          <c:tx>
            <c:strRef>
              <c:f>Visualizations!$P$4</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cat>
            <c:strRef>
              <c:f>Visualizations!$O$5:$O$13</c:f>
              <c:strCache>
                <c:ptCount val="9"/>
                <c:pt idx="0">
                  <c:v>Apr</c:v>
                </c:pt>
                <c:pt idx="1">
                  <c:v>May</c:v>
                </c:pt>
                <c:pt idx="2">
                  <c:v>Jun</c:v>
                </c:pt>
                <c:pt idx="3">
                  <c:v>Jul</c:v>
                </c:pt>
                <c:pt idx="4">
                  <c:v>Aug</c:v>
                </c:pt>
                <c:pt idx="5">
                  <c:v>Sep</c:v>
                </c:pt>
                <c:pt idx="6">
                  <c:v>Oct</c:v>
                </c:pt>
                <c:pt idx="7">
                  <c:v>Nov</c:v>
                </c:pt>
                <c:pt idx="8">
                  <c:v>Dec</c:v>
                </c:pt>
              </c:strCache>
            </c:strRef>
          </c:cat>
          <c:val>
            <c:numRef>
              <c:f>Visualizations!$P$5:$P$13</c:f>
              <c:numCache>
                <c:formatCode>General</c:formatCode>
                <c:ptCount val="9"/>
                <c:pt idx="0">
                  <c:v>17419.38</c:v>
                </c:pt>
                <c:pt idx="1">
                  <c:v>32708.930000000008</c:v>
                </c:pt>
                <c:pt idx="2">
                  <c:v>20609.279999999995</c:v>
                </c:pt>
                <c:pt idx="3">
                  <c:v>25599.110000000011</c:v>
                </c:pt>
                <c:pt idx="4">
                  <c:v>32479.070000000003</c:v>
                </c:pt>
                <c:pt idx="5">
                  <c:v>28489.09</c:v>
                </c:pt>
                <c:pt idx="6">
                  <c:v>28939.02</c:v>
                </c:pt>
                <c:pt idx="7">
                  <c:v>27369.05</c:v>
                </c:pt>
                <c:pt idx="8">
                  <c:v>15579.539999999995</c:v>
                </c:pt>
              </c:numCache>
            </c:numRef>
          </c:val>
          <c:smooth val="0"/>
          <c:extLst>
            <c:ext xmlns:c16="http://schemas.microsoft.com/office/drawing/2014/chart" uri="{C3380CC4-5D6E-409C-BE32-E72D297353CC}">
              <c16:uniqueId val="{00000001-59A2-4860-A3CF-931D5A537263}"/>
            </c:ext>
          </c:extLst>
        </c:ser>
        <c:dLbls>
          <c:showLegendKey val="0"/>
          <c:showVal val="0"/>
          <c:showCatName val="0"/>
          <c:showSerName val="0"/>
          <c:showPercent val="0"/>
          <c:showBubbleSize val="0"/>
        </c:dLbls>
        <c:marker val="1"/>
        <c:smooth val="0"/>
        <c:axId val="2022154879"/>
        <c:axId val="2022161599"/>
      </c:lineChart>
      <c:catAx>
        <c:axId val="20221548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22161599"/>
        <c:crosses val="autoZero"/>
        <c:auto val="1"/>
        <c:lblAlgn val="ctr"/>
        <c:lblOffset val="100"/>
        <c:noMultiLvlLbl val="0"/>
      </c:catAx>
      <c:valAx>
        <c:axId val="202216159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02215487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[final_pr.xlsx]Visualizations!PivotTable4</c:name>
    <c:fmtId val="17"/>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Top 10 Customers</a:t>
            </a:r>
            <a:endParaRPr lang="en-US"/>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2"/>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Visualizations!$M$4</c:f>
              <c:strCache>
                <c:ptCount val="1"/>
                <c:pt idx="0">
                  <c:v>Total</c:v>
                </c:pt>
              </c:strCache>
            </c:strRef>
          </c:tx>
          <c:spPr>
            <a:solidFill>
              <a:schemeClr val="accent2"/>
            </a:solidFill>
            <a:ln>
              <a:noFill/>
            </a:ln>
            <a:effectLst/>
          </c:spPr>
          <c:invertIfNegative val="0"/>
          <c:cat>
            <c:strRef>
              <c:f>Visualizations!$L$5:$L$15</c:f>
              <c:strCache>
                <c:ptCount val="10"/>
                <c:pt idx="0">
                  <c:v>Paul Baker</c:v>
                </c:pt>
                <c:pt idx="1">
                  <c:v>Patricia Moore</c:v>
                </c:pt>
                <c:pt idx="2">
                  <c:v>Mark Carter</c:v>
                </c:pt>
                <c:pt idx="3">
                  <c:v>Lawrence Reed</c:v>
                </c:pt>
                <c:pt idx="4">
                  <c:v>Karen Hill</c:v>
                </c:pt>
                <c:pt idx="5">
                  <c:v>Joseph Jackson</c:v>
                </c:pt>
                <c:pt idx="6">
                  <c:v>Edward Mitchell</c:v>
                </c:pt>
                <c:pt idx="7">
                  <c:v>Dorothy Nelson</c:v>
                </c:pt>
                <c:pt idx="8">
                  <c:v>Daniel King</c:v>
                </c:pt>
                <c:pt idx="9">
                  <c:v>Barbara Young</c:v>
                </c:pt>
              </c:strCache>
            </c:strRef>
          </c:cat>
          <c:val>
            <c:numRef>
              <c:f>Visualizations!$M$5:$M$15</c:f>
              <c:numCache>
                <c:formatCode>General</c:formatCode>
                <c:ptCount val="10"/>
                <c:pt idx="0">
                  <c:v>8309.739999999998</c:v>
                </c:pt>
                <c:pt idx="1">
                  <c:v>9799.73</c:v>
                </c:pt>
                <c:pt idx="2">
                  <c:v>15659.65</c:v>
                </c:pt>
                <c:pt idx="3">
                  <c:v>6989.7699999999986</c:v>
                </c:pt>
                <c:pt idx="4">
                  <c:v>8009.7699999999995</c:v>
                </c:pt>
                <c:pt idx="5">
                  <c:v>6949.84</c:v>
                </c:pt>
                <c:pt idx="6">
                  <c:v>11919.769999999999</c:v>
                </c:pt>
                <c:pt idx="7">
                  <c:v>8269.7900000000009</c:v>
                </c:pt>
                <c:pt idx="8">
                  <c:v>7309.7999999999993</c:v>
                </c:pt>
                <c:pt idx="9">
                  <c:v>10649.8</c:v>
                </c:pt>
              </c:numCache>
            </c:numRef>
          </c:val>
          <c:extLst>
            <c:ext xmlns:c16="http://schemas.microsoft.com/office/drawing/2014/chart" uri="{C3380CC4-5D6E-409C-BE32-E72D297353CC}">
              <c16:uniqueId val="{00000000-4451-4C93-88D3-BAF0820C074D}"/>
            </c:ext>
          </c:extLst>
        </c:ser>
        <c:dLbls>
          <c:showLegendKey val="0"/>
          <c:showVal val="0"/>
          <c:showCatName val="0"/>
          <c:showSerName val="0"/>
          <c:showPercent val="0"/>
          <c:showBubbleSize val="0"/>
        </c:dLbls>
        <c:gapWidth val="199"/>
        <c:axId val="2022159679"/>
        <c:axId val="2022160159"/>
      </c:barChart>
      <c:catAx>
        <c:axId val="2022159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022160159"/>
        <c:crosses val="autoZero"/>
        <c:auto val="1"/>
        <c:lblAlgn val="ctr"/>
        <c:lblOffset val="100"/>
        <c:noMultiLvlLbl val="0"/>
      </c:catAx>
      <c:valAx>
        <c:axId val="202216015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159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127001</xdr:colOff>
      <xdr:row>19</xdr:row>
      <xdr:rowOff>39254</xdr:rowOff>
    </xdr:from>
    <xdr:to>
      <xdr:col>8</xdr:col>
      <xdr:colOff>889001</xdr:colOff>
      <xdr:row>45</xdr:row>
      <xdr:rowOff>152400</xdr:rowOff>
    </xdr:to>
    <xdr:graphicFrame macro="">
      <xdr:nvGraphicFramePr>
        <xdr:cNvPr id="2" name="Chart 1">
          <a:extLst>
            <a:ext uri="{FF2B5EF4-FFF2-40B4-BE49-F238E27FC236}">
              <a16:creationId xmlns:a16="http://schemas.microsoft.com/office/drawing/2014/main" id="{543DB15C-CCCC-39F2-6C5B-AAA00C5490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101600</xdr:colOff>
      <xdr:row>19</xdr:row>
      <xdr:rowOff>79187</xdr:rowOff>
    </xdr:from>
    <xdr:to>
      <xdr:col>15</xdr:col>
      <xdr:colOff>1868715</xdr:colOff>
      <xdr:row>45</xdr:row>
      <xdr:rowOff>50800</xdr:rowOff>
    </xdr:to>
    <xdr:graphicFrame macro="">
      <xdr:nvGraphicFramePr>
        <xdr:cNvPr id="3" name="Chart 2">
          <a:extLst>
            <a:ext uri="{FF2B5EF4-FFF2-40B4-BE49-F238E27FC236}">
              <a16:creationId xmlns:a16="http://schemas.microsoft.com/office/drawing/2014/main" id="{FEE6526B-75E5-897A-A88F-34F6166959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177801</xdr:colOff>
      <xdr:row>47</xdr:row>
      <xdr:rowOff>50801</xdr:rowOff>
    </xdr:from>
    <xdr:to>
      <xdr:col>8</xdr:col>
      <xdr:colOff>838201</xdr:colOff>
      <xdr:row>72</xdr:row>
      <xdr:rowOff>94015</xdr:rowOff>
    </xdr:to>
    <xdr:graphicFrame macro="">
      <xdr:nvGraphicFramePr>
        <xdr:cNvPr id="4" name="Chart 3">
          <a:extLst>
            <a:ext uri="{FF2B5EF4-FFF2-40B4-BE49-F238E27FC236}">
              <a16:creationId xmlns:a16="http://schemas.microsoft.com/office/drawing/2014/main" id="{1465D78F-31D7-5478-D89E-50AE80A29F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632691</xdr:colOff>
      <xdr:row>74</xdr:row>
      <xdr:rowOff>11546</xdr:rowOff>
    </xdr:from>
    <xdr:to>
      <xdr:col>12</xdr:col>
      <xdr:colOff>99291</xdr:colOff>
      <xdr:row>102</xdr:row>
      <xdr:rowOff>113145</xdr:rowOff>
    </xdr:to>
    <xdr:graphicFrame macro="">
      <xdr:nvGraphicFramePr>
        <xdr:cNvPr id="5" name="Chart 4">
          <a:extLst>
            <a:ext uri="{FF2B5EF4-FFF2-40B4-BE49-F238E27FC236}">
              <a16:creationId xmlns:a16="http://schemas.microsoft.com/office/drawing/2014/main" id="{4B001DF1-A7B5-50C8-8A52-E3831A201C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177800</xdr:colOff>
      <xdr:row>47</xdr:row>
      <xdr:rowOff>0</xdr:rowOff>
    </xdr:from>
    <xdr:to>
      <xdr:col>15</xdr:col>
      <xdr:colOff>1295400</xdr:colOff>
      <xdr:row>72</xdr:row>
      <xdr:rowOff>127000</xdr:rowOff>
    </xdr:to>
    <xdr:graphicFrame macro="">
      <xdr:nvGraphicFramePr>
        <xdr:cNvPr id="6" name="Chart 5">
          <a:extLst>
            <a:ext uri="{FF2B5EF4-FFF2-40B4-BE49-F238E27FC236}">
              <a16:creationId xmlns:a16="http://schemas.microsoft.com/office/drawing/2014/main" id="{D7850FC5-11FF-533F-1261-215E948AD8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60202</xdr:colOff>
      <xdr:row>11</xdr:row>
      <xdr:rowOff>19709</xdr:rowOff>
    </xdr:from>
    <xdr:to>
      <xdr:col>20</xdr:col>
      <xdr:colOff>537359</xdr:colOff>
      <xdr:row>19</xdr:row>
      <xdr:rowOff>69273</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63E8F06A-1059-B5AD-DDD0-EACAD923C37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8371293" y="2421164"/>
              <a:ext cx="1827975" cy="15620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204105</xdr:colOff>
      <xdr:row>15</xdr:row>
      <xdr:rowOff>48986</xdr:rowOff>
    </xdr:from>
    <xdr:to>
      <xdr:col>18</xdr:col>
      <xdr:colOff>817334</xdr:colOff>
      <xdr:row>26</xdr:row>
      <xdr:rowOff>11545</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4F58D7FB-2F9E-EB9C-0854-F39C7E9C506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379287" y="3223986"/>
              <a:ext cx="1837047" cy="1994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235855</xdr:colOff>
      <xdr:row>5</xdr:row>
      <xdr:rowOff>146710</xdr:rowOff>
    </xdr:from>
    <xdr:to>
      <xdr:col>18</xdr:col>
      <xdr:colOff>849084</xdr:colOff>
      <xdr:row>13</xdr:row>
      <xdr:rowOff>184728</xdr:rowOff>
    </xdr:to>
    <mc:AlternateContent xmlns:mc="http://schemas.openxmlformats.org/markup-compatibility/2006">
      <mc:Choice xmlns:a14="http://schemas.microsoft.com/office/drawing/2010/main" Requires="a14">
        <xdr:graphicFrame macro="">
          <xdr:nvGraphicFramePr>
            <xdr:cNvPr id="9" name="Customer_Segment">
              <a:extLst>
                <a:ext uri="{FF2B5EF4-FFF2-40B4-BE49-F238E27FC236}">
                  <a16:creationId xmlns:a16="http://schemas.microsoft.com/office/drawing/2014/main" id="{369AE4CD-95A0-26F6-32A8-EB93AAD01B2F}"/>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16411037" y="1393619"/>
              <a:ext cx="1837047" cy="15735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16</xdr:row>
      <xdr:rowOff>1</xdr:rowOff>
    </xdr:from>
    <xdr:to>
      <xdr:col>11</xdr:col>
      <xdr:colOff>103909</xdr:colOff>
      <xdr:row>31</xdr:row>
      <xdr:rowOff>127000</xdr:rowOff>
    </xdr:to>
    <xdr:graphicFrame macro="">
      <xdr:nvGraphicFramePr>
        <xdr:cNvPr id="2" name="Chart 1">
          <a:extLst>
            <a:ext uri="{FF2B5EF4-FFF2-40B4-BE49-F238E27FC236}">
              <a16:creationId xmlns:a16="http://schemas.microsoft.com/office/drawing/2014/main" id="{95BA117B-28FE-4F9C-AFE2-03E0C336F1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xdr:colOff>
      <xdr:row>16</xdr:row>
      <xdr:rowOff>0</xdr:rowOff>
    </xdr:from>
    <xdr:to>
      <xdr:col>19</xdr:col>
      <xdr:colOff>565727</xdr:colOff>
      <xdr:row>31</xdr:row>
      <xdr:rowOff>173182</xdr:rowOff>
    </xdr:to>
    <xdr:graphicFrame macro="">
      <xdr:nvGraphicFramePr>
        <xdr:cNvPr id="3" name="Chart 2">
          <a:extLst>
            <a:ext uri="{FF2B5EF4-FFF2-40B4-BE49-F238E27FC236}">
              <a16:creationId xmlns:a16="http://schemas.microsoft.com/office/drawing/2014/main" id="{68D9C9C4-4A58-41D0-A6DA-4A755721C6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33</xdr:row>
      <xdr:rowOff>0</xdr:rowOff>
    </xdr:from>
    <xdr:to>
      <xdr:col>11</xdr:col>
      <xdr:colOff>115455</xdr:colOff>
      <xdr:row>48</xdr:row>
      <xdr:rowOff>57727</xdr:rowOff>
    </xdr:to>
    <xdr:graphicFrame macro="">
      <xdr:nvGraphicFramePr>
        <xdr:cNvPr id="4" name="Chart 3">
          <a:extLst>
            <a:ext uri="{FF2B5EF4-FFF2-40B4-BE49-F238E27FC236}">
              <a16:creationId xmlns:a16="http://schemas.microsoft.com/office/drawing/2014/main" id="{A0D9F546-E63D-4653-84CA-8AF062DF31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33</xdr:row>
      <xdr:rowOff>0</xdr:rowOff>
    </xdr:from>
    <xdr:to>
      <xdr:col>19</xdr:col>
      <xdr:colOff>531091</xdr:colOff>
      <xdr:row>48</xdr:row>
      <xdr:rowOff>150091</xdr:rowOff>
    </xdr:to>
    <xdr:graphicFrame macro="">
      <xdr:nvGraphicFramePr>
        <xdr:cNvPr id="5" name="Chart 4">
          <a:extLst>
            <a:ext uri="{FF2B5EF4-FFF2-40B4-BE49-F238E27FC236}">
              <a16:creationId xmlns:a16="http://schemas.microsoft.com/office/drawing/2014/main" id="{DC52F114-49A3-470D-84C1-9B3486266B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50</xdr:row>
      <xdr:rowOff>0</xdr:rowOff>
    </xdr:from>
    <xdr:to>
      <xdr:col>19</xdr:col>
      <xdr:colOff>431800</xdr:colOff>
      <xdr:row>69</xdr:row>
      <xdr:rowOff>152400</xdr:rowOff>
    </xdr:to>
    <xdr:graphicFrame macro="">
      <xdr:nvGraphicFramePr>
        <xdr:cNvPr id="6" name="Chart 5">
          <a:extLst>
            <a:ext uri="{FF2B5EF4-FFF2-40B4-BE49-F238E27FC236}">
              <a16:creationId xmlns:a16="http://schemas.microsoft.com/office/drawing/2014/main" id="{19FBC5BF-942D-4FEB-9779-2EE8173F34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577272</xdr:colOff>
      <xdr:row>9</xdr:row>
      <xdr:rowOff>34636</xdr:rowOff>
    </xdr:from>
    <xdr:to>
      <xdr:col>23</xdr:col>
      <xdr:colOff>561274</xdr:colOff>
      <xdr:row>17</xdr:row>
      <xdr:rowOff>57728</xdr:rowOff>
    </xdr:to>
    <mc:AlternateContent xmlns:mc="http://schemas.openxmlformats.org/markup-compatibility/2006">
      <mc:Choice xmlns:a14="http://schemas.microsoft.com/office/drawing/2010/main" Requires="a14">
        <xdr:graphicFrame macro="">
          <xdr:nvGraphicFramePr>
            <xdr:cNvPr id="7" name="Customer_Segment 1">
              <a:extLst>
                <a:ext uri="{FF2B5EF4-FFF2-40B4-BE49-F238E27FC236}">
                  <a16:creationId xmlns:a16="http://schemas.microsoft.com/office/drawing/2014/main" id="{0AF7F31E-20E5-4AF6-AD69-CC08E5BC8E8E}"/>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dr:sp macro="" textlink="">
          <xdr:nvSpPr>
            <xdr:cNvPr id="0" name=""/>
            <xdr:cNvSpPr>
              <a:spLocks noTextEdit="1"/>
            </xdr:cNvSpPr>
          </xdr:nvSpPr>
          <xdr:spPr>
            <a:xfrm>
              <a:off x="12642272" y="2082511"/>
              <a:ext cx="1793752" cy="1626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138546</xdr:colOff>
      <xdr:row>14</xdr:row>
      <xdr:rowOff>69272</xdr:rowOff>
    </xdr:from>
    <xdr:to>
      <xdr:col>27</xdr:col>
      <xdr:colOff>129351</xdr:colOff>
      <xdr:row>21</xdr:row>
      <xdr:rowOff>161636</xdr:rowOff>
    </xdr:to>
    <mc:AlternateContent xmlns:mc="http://schemas.openxmlformats.org/markup-compatibility/2006">
      <mc:Choice xmlns:a14="http://schemas.microsoft.com/office/drawing/2010/main" Requires="a14">
        <xdr:graphicFrame macro="">
          <xdr:nvGraphicFramePr>
            <xdr:cNvPr id="8" name="Category 1">
              <a:extLst>
                <a:ext uri="{FF2B5EF4-FFF2-40B4-BE49-F238E27FC236}">
                  <a16:creationId xmlns:a16="http://schemas.microsoft.com/office/drawing/2014/main" id="{A9B88F65-1EDF-418F-A228-84E07CCBD27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4616546" y="3149022"/>
              <a:ext cx="1800555" cy="14258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577273</xdr:colOff>
      <xdr:row>18</xdr:row>
      <xdr:rowOff>46182</xdr:rowOff>
    </xdr:from>
    <xdr:to>
      <xdr:col>23</xdr:col>
      <xdr:colOff>561275</xdr:colOff>
      <xdr:row>29</xdr:row>
      <xdr:rowOff>23091</xdr:rowOff>
    </xdr:to>
    <mc:AlternateContent xmlns:mc="http://schemas.openxmlformats.org/markup-compatibility/2006">
      <mc:Choice xmlns:a14="http://schemas.microsoft.com/office/drawing/2010/main" Requires="a14">
        <xdr:graphicFrame macro="">
          <xdr:nvGraphicFramePr>
            <xdr:cNvPr id="9" name="Region 1">
              <a:extLst>
                <a:ext uri="{FF2B5EF4-FFF2-40B4-BE49-F238E27FC236}">
                  <a16:creationId xmlns:a16="http://schemas.microsoft.com/office/drawing/2014/main" id="{6C81E7D7-C26E-410A-A815-667ED5FA231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642273" y="3887932"/>
              <a:ext cx="1793752" cy="20724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sh Bishnoi" refreshedDate="46158.407688541665" createdVersion="8" refreshedVersion="8" minRefreshableVersion="3" recordCount="250" xr:uid="{78C5343C-D053-4821-B65A-63A66DE633C8}">
  <cacheSource type="worksheet">
    <worksheetSource name="CustomerData"/>
  </cacheSource>
  <cacheFields count="18">
    <cacheField name="Transaction_ID" numFmtId="0">
      <sharedItems/>
    </cacheField>
    <cacheField name="Date" numFmtId="164">
      <sharedItems containsSemiMixedTypes="0" containsNonDate="0" containsDate="1" containsString="0" minDate="2024-04-11T00:00:00" maxDate="2024-12-17T00:00:00"/>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64">
      <sharedItems containsSemiMixedTypes="0" containsNonDate="0" containsDate="1" containsString="0" minDate="2021-08-17T00:00:00" maxDate="2022-04-24T00:00:00"/>
    </cacheField>
    <cacheField name="Total_Amount" numFmtId="0">
      <sharedItems containsSemiMixedTypes="0" containsString="0" containsNumber="1" minValue="59.99" maxValue="4499.95"/>
    </cacheField>
    <cacheField name="Month" numFmtId="0">
      <sharedItems count="9">
        <s v="Apr"/>
        <s v="May"/>
        <s v="Jun"/>
        <s v="Jul"/>
        <s v="Aug"/>
        <s v="Sep"/>
        <s v="Oct"/>
        <s v="Nov"/>
        <s v="Dec"/>
      </sharedItems>
    </cacheField>
    <cacheField name="Year" numFmtId="0">
      <sharedItems containsSemiMixedTypes="0" containsString="0" containsNumber="1" containsInteger="1" minValue="2024" maxValue="2024"/>
    </cacheField>
    <cacheField name="Days_As_Customer" numFmtId="1">
      <sharedItems containsSemiMixedTypes="0" containsString="0" containsNumber="1" containsInteger="1" minValue="1484" maxValue="1733"/>
    </cacheField>
    <cacheField name="Customer_Level" numFmtId="0">
      <sharedItems/>
    </cacheField>
  </cacheFields>
  <extLst>
    <ext xmlns:x14="http://schemas.microsoft.com/office/spreadsheetml/2009/9/main" uri="{725AE2AE-9491-48be-B2B4-4EB974FC3084}">
      <x14:pivotCacheDefinition pivotCacheId="212873947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sh Bishnoi" refreshedDate="46158.410472916665" createdVersion="8" refreshedVersion="8" minRefreshableVersion="3" recordCount="251" xr:uid="{24845BC5-2FB4-4F2D-99AA-CCC7785306FB}">
  <cacheSource type="worksheet">
    <worksheetSource ref="A1:R1048576" sheet="Raw Data"/>
  </cacheSource>
  <cacheFields count="18">
    <cacheField name="Transaction_ID" numFmtId="0">
      <sharedItems containsBlank="1"/>
    </cacheField>
    <cacheField name="Date" numFmtId="0">
      <sharedItems containsNonDate="0" containsDate="1" containsString="0" containsBlank="1" minDate="2024-04-11T00:00:00" maxDate="2024-12-17T00:00:00"/>
    </cacheField>
    <cacheField name="Customer_ID" numFmtId="0">
      <sharedItems containsBlank="1"/>
    </cacheField>
    <cacheField name="Customer_Name" numFmtId="0">
      <sharedItems containsBlank="1"/>
    </cacheField>
    <cacheField name="Product_ID" numFmtId="0">
      <sharedItems containsBlank="1"/>
    </cacheField>
    <cacheField name="Product_Name" numFmtId="0">
      <sharedItems containsBlank="1"/>
    </cacheField>
    <cacheField name="Category" numFmtId="0">
      <sharedItems containsBlank="1"/>
    </cacheField>
    <cacheField name="Quantity" numFmtId="0">
      <sharedItems containsString="0" containsBlank="1" containsNumber="1" containsInteger="1" minValue="1" maxValue="5"/>
    </cacheField>
    <cacheField name="Unit_Price" numFmtId="0">
      <sharedItems containsString="0" containsBlank="1" containsNumber="1" minValue="59.99" maxValue="899.99"/>
    </cacheField>
    <cacheField name="Payment_Method" numFmtId="0">
      <sharedItems containsBlank="1"/>
    </cacheField>
    <cacheField name="Region" numFmtId="0">
      <sharedItems containsBlank="1" count="6">
        <s v="Central"/>
        <s v="South"/>
        <s v="North"/>
        <s v="West"/>
        <s v="East"/>
        <m/>
      </sharedItems>
    </cacheField>
    <cacheField name="Customer_Segment" numFmtId="0">
      <sharedItems containsBlank="1"/>
    </cacheField>
    <cacheField name="Customer_Since" numFmtId="0">
      <sharedItems containsNonDate="0" containsDate="1" containsString="0" containsBlank="1" minDate="2021-08-17T00:00:00" maxDate="2022-04-24T00:00:00"/>
    </cacheField>
    <cacheField name="Total_Amount" numFmtId="0">
      <sharedItems containsString="0" containsBlank="1" containsNumber="1" minValue="59.99" maxValue="4499.95"/>
    </cacheField>
    <cacheField name="Month" numFmtId="0">
      <sharedItems containsBlank="1"/>
    </cacheField>
    <cacheField name="Year" numFmtId="0">
      <sharedItems containsString="0" containsBlank="1" containsNumber="1" containsInteger="1" minValue="2024" maxValue="2024"/>
    </cacheField>
    <cacheField name="Days_As_Customer" numFmtId="0">
      <sharedItems containsString="0" containsBlank="1" containsNumber="1" containsInteger="1" minValue="1484" maxValue="1733"/>
    </cacheField>
    <cacheField name="Customer_Level"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d v="2024-04-11T00:00:00"/>
    <s v="CUST023"/>
    <x v="0"/>
    <s v="P009"/>
    <s v="Monitor"/>
    <x v="0"/>
    <n v="3"/>
    <n v="249.99"/>
    <x v="0"/>
    <x v="0"/>
    <x v="0"/>
    <d v="2021-08-17T00:00:00"/>
    <n v="749.97"/>
    <x v="0"/>
    <n v="2024"/>
    <n v="1733"/>
    <s v="Medium Value"/>
  </r>
  <r>
    <s v="TRX0023"/>
    <d v="2024-04-12T00:00:00"/>
    <s v="CUST013"/>
    <x v="1"/>
    <s v="P009"/>
    <s v="Monitor"/>
    <x v="0"/>
    <n v="3"/>
    <n v="249.99"/>
    <x v="1"/>
    <x v="0"/>
    <x v="1"/>
    <d v="2021-08-18T00:00:00"/>
    <n v="749.97"/>
    <x v="0"/>
    <n v="2024"/>
    <n v="1732"/>
    <s v="Medium Value"/>
  </r>
  <r>
    <s v="TRX0139"/>
    <d v="2024-04-13T00:00:00"/>
    <s v="CUST021"/>
    <x v="2"/>
    <s v="P005"/>
    <s v="Blender"/>
    <x v="1"/>
    <n v="3"/>
    <n v="59.99"/>
    <x v="2"/>
    <x v="1"/>
    <x v="2"/>
    <d v="2021-08-19T00:00:00"/>
    <n v="179.97"/>
    <x v="0"/>
    <n v="2024"/>
    <n v="1731"/>
    <s v="Low Value"/>
  </r>
  <r>
    <s v="TRX0043"/>
    <d v="2024-04-14T00:00:00"/>
    <s v="CUST046"/>
    <x v="3"/>
    <s v="P005"/>
    <s v="Blender"/>
    <x v="1"/>
    <n v="3"/>
    <n v="59.99"/>
    <x v="0"/>
    <x v="2"/>
    <x v="1"/>
    <d v="2021-08-20T00:00:00"/>
    <n v="179.97"/>
    <x v="0"/>
    <n v="2024"/>
    <n v="1730"/>
    <s v="Low Value"/>
  </r>
  <r>
    <s v="TRX0212"/>
    <d v="2024-04-15T00:00:00"/>
    <s v="CUST003"/>
    <x v="4"/>
    <s v="P008"/>
    <s v="Bookshelf"/>
    <x v="2"/>
    <n v="5"/>
    <n v="149.99"/>
    <x v="1"/>
    <x v="2"/>
    <x v="1"/>
    <d v="2021-08-21T00:00:00"/>
    <n v="749.95"/>
    <x v="0"/>
    <n v="2024"/>
    <n v="1729"/>
    <s v="Medium Value"/>
  </r>
  <r>
    <s v="TRX0092"/>
    <d v="2024-04-16T00:00:00"/>
    <s v="CUST024"/>
    <x v="5"/>
    <s v="P005"/>
    <s v="Blender"/>
    <x v="1"/>
    <n v="2"/>
    <n v="59.99"/>
    <x v="0"/>
    <x v="3"/>
    <x v="2"/>
    <d v="2021-08-22T00:00:00"/>
    <n v="119.98"/>
    <x v="0"/>
    <n v="2024"/>
    <n v="1728"/>
    <s v="Low Value"/>
  </r>
  <r>
    <s v="TRX0193"/>
    <d v="2024-04-17T00:00:00"/>
    <s v="CUST024"/>
    <x v="5"/>
    <s v="P003"/>
    <s v="Headphones"/>
    <x v="0"/>
    <n v="5"/>
    <n v="149.99"/>
    <x v="1"/>
    <x v="0"/>
    <x v="2"/>
    <d v="2021-08-23T00:00:00"/>
    <n v="749.95"/>
    <x v="0"/>
    <n v="2024"/>
    <n v="1727"/>
    <s v="Medium Value"/>
  </r>
  <r>
    <s v="TRX0240"/>
    <d v="2024-04-18T00:00:00"/>
    <s v="CUST017"/>
    <x v="6"/>
    <s v="P005"/>
    <s v="Blender"/>
    <x v="1"/>
    <n v="3"/>
    <n v="59.99"/>
    <x v="3"/>
    <x v="1"/>
    <x v="0"/>
    <d v="2021-08-24T00:00:00"/>
    <n v="179.97"/>
    <x v="0"/>
    <n v="2024"/>
    <n v="1726"/>
    <s v="Low Value"/>
  </r>
  <r>
    <s v="TRX0135"/>
    <d v="2024-04-19T00:00:00"/>
    <s v="CUST009"/>
    <x v="7"/>
    <s v="P001"/>
    <s v="Laptop"/>
    <x v="0"/>
    <n v="3"/>
    <n v="899.99"/>
    <x v="2"/>
    <x v="4"/>
    <x v="2"/>
    <d v="2021-08-25T00:00:00"/>
    <n v="2699.97"/>
    <x v="0"/>
    <n v="2024"/>
    <n v="1725"/>
    <s v="VIP Customer"/>
  </r>
  <r>
    <s v="TRX0185"/>
    <d v="2024-04-20T00:00:00"/>
    <s v="CUST026"/>
    <x v="8"/>
    <s v="P005"/>
    <s v="Blender"/>
    <x v="1"/>
    <n v="3"/>
    <n v="59.99"/>
    <x v="0"/>
    <x v="3"/>
    <x v="1"/>
    <d v="2021-08-26T00:00:00"/>
    <n v="179.97"/>
    <x v="0"/>
    <n v="2024"/>
    <n v="1724"/>
    <s v="Low Value"/>
  </r>
  <r>
    <s v="TRX0138"/>
    <d v="2024-04-21T00:00:00"/>
    <s v="CUST022"/>
    <x v="9"/>
    <s v="P008"/>
    <s v="Bookshelf"/>
    <x v="2"/>
    <n v="1"/>
    <n v="149.99"/>
    <x v="1"/>
    <x v="3"/>
    <x v="2"/>
    <d v="2021-08-27T00:00:00"/>
    <n v="149.99"/>
    <x v="0"/>
    <n v="2024"/>
    <n v="1723"/>
    <s v="Low Value"/>
  </r>
  <r>
    <s v="TRX0209"/>
    <d v="2024-04-22T00:00:00"/>
    <s v="CUST046"/>
    <x v="3"/>
    <s v="P008"/>
    <s v="Bookshelf"/>
    <x v="2"/>
    <n v="5"/>
    <n v="149.99"/>
    <x v="3"/>
    <x v="2"/>
    <x v="0"/>
    <d v="2021-08-28T00:00:00"/>
    <n v="749.95"/>
    <x v="0"/>
    <n v="2024"/>
    <n v="1722"/>
    <s v="Medium Value"/>
  </r>
  <r>
    <s v="TRX0246"/>
    <d v="2024-04-23T00:00:00"/>
    <s v="CUST041"/>
    <x v="10"/>
    <s v="P008"/>
    <s v="Bookshelf"/>
    <x v="2"/>
    <n v="3"/>
    <n v="149.99"/>
    <x v="0"/>
    <x v="2"/>
    <x v="1"/>
    <d v="2021-08-29T00:00:00"/>
    <n v="449.97"/>
    <x v="0"/>
    <n v="2024"/>
    <n v="1721"/>
    <s v="Low Value"/>
  </r>
  <r>
    <s v="TRX0067"/>
    <d v="2024-04-24T00:00:00"/>
    <s v="CUST043"/>
    <x v="11"/>
    <s v="P005"/>
    <s v="Blender"/>
    <x v="1"/>
    <n v="3"/>
    <n v="59.99"/>
    <x v="1"/>
    <x v="2"/>
    <x v="2"/>
    <d v="2021-08-30T00:00:00"/>
    <n v="179.97"/>
    <x v="0"/>
    <n v="2024"/>
    <n v="1720"/>
    <s v="Low Value"/>
  </r>
  <r>
    <s v="TRX0191"/>
    <d v="2024-04-25T00:00:00"/>
    <s v="CUST038"/>
    <x v="12"/>
    <s v="P002"/>
    <s v="Smartphone"/>
    <x v="0"/>
    <n v="3"/>
    <n v="699.99"/>
    <x v="1"/>
    <x v="3"/>
    <x v="0"/>
    <d v="2021-08-31T00:00:00"/>
    <n v="2099.9699999999998"/>
    <x v="0"/>
    <n v="2024"/>
    <n v="1719"/>
    <s v="VIP Customer"/>
  </r>
  <r>
    <s v="TRX0230"/>
    <d v="2024-04-26T00:00:00"/>
    <s v="CUST027"/>
    <x v="13"/>
    <s v="P001"/>
    <s v="Laptop"/>
    <x v="0"/>
    <n v="1"/>
    <n v="899.99"/>
    <x v="3"/>
    <x v="2"/>
    <x v="2"/>
    <d v="2021-09-01T00:00:00"/>
    <n v="899.99"/>
    <x v="0"/>
    <n v="2024"/>
    <n v="1718"/>
    <s v="Medium Value"/>
  </r>
  <r>
    <s v="TRX0049"/>
    <d v="2024-04-27T00:00:00"/>
    <s v="CUST025"/>
    <x v="14"/>
    <s v="P008"/>
    <s v="Bookshelf"/>
    <x v="2"/>
    <n v="4"/>
    <n v="149.99"/>
    <x v="3"/>
    <x v="2"/>
    <x v="1"/>
    <d v="2021-09-02T00:00:00"/>
    <n v="599.96"/>
    <x v="0"/>
    <n v="2024"/>
    <n v="1717"/>
    <s v="Medium Value"/>
  </r>
  <r>
    <s v="TRX0134"/>
    <d v="2024-04-28T00:00:00"/>
    <s v="CUST010"/>
    <x v="15"/>
    <s v="P002"/>
    <s v="Smartphone"/>
    <x v="0"/>
    <n v="2"/>
    <n v="699.99"/>
    <x v="0"/>
    <x v="2"/>
    <x v="0"/>
    <d v="2021-09-03T00:00:00"/>
    <n v="1399.98"/>
    <x v="0"/>
    <n v="2024"/>
    <n v="1716"/>
    <s v="High Value"/>
  </r>
  <r>
    <s v="TRX0122"/>
    <d v="2024-04-29T00:00:00"/>
    <s v="CUST025"/>
    <x v="14"/>
    <s v="P001"/>
    <s v="Laptop"/>
    <x v="0"/>
    <n v="4"/>
    <n v="899.99"/>
    <x v="1"/>
    <x v="3"/>
    <x v="2"/>
    <d v="2021-09-04T00:00:00"/>
    <n v="3599.96"/>
    <x v="0"/>
    <n v="2024"/>
    <n v="1715"/>
    <s v="VIP Customer"/>
  </r>
  <r>
    <s v="TRX0222"/>
    <d v="2024-04-30T00:00:00"/>
    <s v="CUST048"/>
    <x v="16"/>
    <s v="P009"/>
    <s v="Monitor"/>
    <x v="0"/>
    <n v="3"/>
    <n v="249.99"/>
    <x v="1"/>
    <x v="2"/>
    <x v="1"/>
    <d v="2021-09-05T00:00:00"/>
    <n v="749.97"/>
    <x v="0"/>
    <n v="2024"/>
    <n v="1714"/>
    <s v="Medium Value"/>
  </r>
  <r>
    <s v="TRX0231"/>
    <d v="2024-05-01T00:00:00"/>
    <s v="CUST018"/>
    <x v="17"/>
    <s v="P002"/>
    <s v="Smartphone"/>
    <x v="0"/>
    <n v="5"/>
    <n v="699.99"/>
    <x v="0"/>
    <x v="3"/>
    <x v="0"/>
    <d v="2021-09-06T00:00:00"/>
    <n v="3499.95"/>
    <x v="1"/>
    <n v="2024"/>
    <n v="1713"/>
    <s v="VIP Customer"/>
  </r>
  <r>
    <s v="TRX0239"/>
    <d v="2024-05-02T00:00:00"/>
    <s v="CUST012"/>
    <x v="18"/>
    <s v="P002"/>
    <s v="Smartphone"/>
    <x v="0"/>
    <n v="4"/>
    <n v="699.99"/>
    <x v="0"/>
    <x v="4"/>
    <x v="2"/>
    <d v="2021-09-07T00:00:00"/>
    <n v="2799.96"/>
    <x v="1"/>
    <n v="2024"/>
    <n v="1712"/>
    <s v="VIP Customer"/>
  </r>
  <r>
    <s v="TRX0204"/>
    <d v="2024-05-03T00:00:00"/>
    <s v="CUST044"/>
    <x v="19"/>
    <s v="P009"/>
    <s v="Monitor"/>
    <x v="0"/>
    <n v="4"/>
    <n v="249.99"/>
    <x v="2"/>
    <x v="2"/>
    <x v="2"/>
    <d v="2021-09-08T00:00:00"/>
    <n v="999.96"/>
    <x v="1"/>
    <n v="2024"/>
    <n v="1711"/>
    <s v="Medium Value"/>
  </r>
  <r>
    <s v="TRX0242"/>
    <d v="2024-05-04T00:00:00"/>
    <s v="CUST025"/>
    <x v="14"/>
    <s v="P007"/>
    <s v="Desk"/>
    <x v="2"/>
    <n v="4"/>
    <n v="299.99"/>
    <x v="0"/>
    <x v="3"/>
    <x v="1"/>
    <d v="2021-09-09T00:00:00"/>
    <n v="1199.96"/>
    <x v="1"/>
    <n v="2024"/>
    <n v="1710"/>
    <s v="High Value"/>
  </r>
  <r>
    <s v="TRX0071"/>
    <d v="2024-05-05T00:00:00"/>
    <s v="CUST036"/>
    <x v="20"/>
    <s v="P009"/>
    <s v="Monitor"/>
    <x v="0"/>
    <n v="5"/>
    <n v="249.99"/>
    <x v="1"/>
    <x v="3"/>
    <x v="2"/>
    <d v="2021-09-10T00:00:00"/>
    <n v="1249.95"/>
    <x v="1"/>
    <n v="2024"/>
    <n v="1709"/>
    <s v="High Value"/>
  </r>
  <r>
    <s v="TRX0040"/>
    <d v="2024-05-06T00:00:00"/>
    <s v="CUST022"/>
    <x v="9"/>
    <s v="P007"/>
    <s v="Desk"/>
    <x v="2"/>
    <n v="5"/>
    <n v="299.99"/>
    <x v="2"/>
    <x v="4"/>
    <x v="0"/>
    <d v="2021-09-11T00:00:00"/>
    <n v="1499.95"/>
    <x v="1"/>
    <n v="2024"/>
    <n v="1708"/>
    <s v="High Value"/>
  </r>
  <r>
    <s v="TRX0235"/>
    <d v="2024-05-07T00:00:00"/>
    <s v="CUST014"/>
    <x v="21"/>
    <s v="P004"/>
    <s v="Coffee Maker"/>
    <x v="1"/>
    <n v="3"/>
    <n v="79.989999999999995"/>
    <x v="2"/>
    <x v="4"/>
    <x v="1"/>
    <d v="2021-09-12T00:00:00"/>
    <n v="239.97"/>
    <x v="1"/>
    <n v="2024"/>
    <n v="1707"/>
    <s v="Low Value"/>
  </r>
  <r>
    <s v="TRX0004"/>
    <d v="2024-05-08T00:00:00"/>
    <s v="CUST012"/>
    <x v="18"/>
    <s v="P010"/>
    <s v="Keyboard"/>
    <x v="0"/>
    <n v="5"/>
    <n v="89.99"/>
    <x v="0"/>
    <x v="2"/>
    <x v="1"/>
    <d v="2021-09-13T00:00:00"/>
    <n v="449.95"/>
    <x v="1"/>
    <n v="2024"/>
    <n v="1706"/>
    <s v="Low Value"/>
  </r>
  <r>
    <s v="TRX0063"/>
    <d v="2024-05-09T00:00:00"/>
    <s v="CUST030"/>
    <x v="22"/>
    <s v="P005"/>
    <s v="Blender"/>
    <x v="1"/>
    <n v="2"/>
    <n v="59.99"/>
    <x v="3"/>
    <x v="0"/>
    <x v="2"/>
    <d v="2021-09-14T00:00:00"/>
    <n v="119.98"/>
    <x v="1"/>
    <n v="2024"/>
    <n v="1705"/>
    <s v="Low Value"/>
  </r>
  <r>
    <s v="TRX0241"/>
    <d v="2024-05-10T00:00:00"/>
    <s v="CUST029"/>
    <x v="23"/>
    <s v="P005"/>
    <s v="Blender"/>
    <x v="1"/>
    <n v="4"/>
    <n v="59.99"/>
    <x v="3"/>
    <x v="4"/>
    <x v="2"/>
    <d v="2021-09-15T00:00:00"/>
    <n v="239.96"/>
    <x v="1"/>
    <n v="2024"/>
    <n v="1704"/>
    <s v="Low Value"/>
  </r>
  <r>
    <s v="TRX0029"/>
    <d v="2024-05-11T00:00:00"/>
    <s v="CUST017"/>
    <x v="6"/>
    <s v="P006"/>
    <s v="Office Chair"/>
    <x v="2"/>
    <n v="5"/>
    <n v="199.99"/>
    <x v="0"/>
    <x v="1"/>
    <x v="2"/>
    <d v="2021-09-16T00:00:00"/>
    <n v="999.95"/>
    <x v="1"/>
    <n v="2024"/>
    <n v="1703"/>
    <s v="Medium Value"/>
  </r>
  <r>
    <s v="TRX0194"/>
    <d v="2024-05-12T00:00:00"/>
    <s v="CUST006"/>
    <x v="24"/>
    <s v="P008"/>
    <s v="Bookshelf"/>
    <x v="2"/>
    <n v="2"/>
    <n v="149.99"/>
    <x v="1"/>
    <x v="3"/>
    <x v="0"/>
    <d v="2021-09-17T00:00:00"/>
    <n v="299.98"/>
    <x v="1"/>
    <n v="2024"/>
    <n v="1702"/>
    <s v="Low Value"/>
  </r>
  <r>
    <s v="TRX0130"/>
    <d v="2024-05-13T00:00:00"/>
    <s v="CUST002"/>
    <x v="25"/>
    <s v="P008"/>
    <s v="Bookshelf"/>
    <x v="2"/>
    <n v="3"/>
    <n v="149.99"/>
    <x v="1"/>
    <x v="3"/>
    <x v="1"/>
    <d v="2021-09-18T00:00:00"/>
    <n v="449.97"/>
    <x v="1"/>
    <n v="2024"/>
    <n v="1701"/>
    <s v="Low Value"/>
  </r>
  <r>
    <s v="TRX0041"/>
    <d v="2024-05-14T00:00:00"/>
    <s v="CUST021"/>
    <x v="2"/>
    <s v="P001"/>
    <s v="Laptop"/>
    <x v="0"/>
    <n v="1"/>
    <n v="899.99"/>
    <x v="1"/>
    <x v="3"/>
    <x v="1"/>
    <d v="2021-09-19T00:00:00"/>
    <n v="899.99"/>
    <x v="1"/>
    <n v="2024"/>
    <n v="1700"/>
    <s v="Medium Value"/>
  </r>
  <r>
    <s v="TRX0232"/>
    <d v="2024-05-15T00:00:00"/>
    <s v="CUST012"/>
    <x v="18"/>
    <s v="P007"/>
    <s v="Desk"/>
    <x v="2"/>
    <n v="3"/>
    <n v="299.99"/>
    <x v="1"/>
    <x v="4"/>
    <x v="0"/>
    <d v="2021-09-20T00:00:00"/>
    <n v="899.97"/>
    <x v="1"/>
    <n v="2024"/>
    <n v="1699"/>
    <s v="Medium Value"/>
  </r>
  <r>
    <s v="TRX0021"/>
    <d v="2024-05-16T00:00:00"/>
    <s v="CUST006"/>
    <x v="24"/>
    <s v="P004"/>
    <s v="Coffee Maker"/>
    <x v="1"/>
    <n v="3"/>
    <n v="79.989999999999995"/>
    <x v="0"/>
    <x v="1"/>
    <x v="0"/>
    <d v="2021-09-21T00:00:00"/>
    <n v="239.97"/>
    <x v="1"/>
    <n v="2024"/>
    <n v="1698"/>
    <s v="Low Value"/>
  </r>
  <r>
    <s v="TRX0245"/>
    <d v="2024-05-17T00:00:00"/>
    <s v="CUST031"/>
    <x v="26"/>
    <s v="P006"/>
    <s v="Office Chair"/>
    <x v="2"/>
    <n v="3"/>
    <n v="199.99"/>
    <x v="1"/>
    <x v="2"/>
    <x v="1"/>
    <d v="2021-09-22T00:00:00"/>
    <n v="599.97"/>
    <x v="1"/>
    <n v="2024"/>
    <n v="1697"/>
    <s v="Medium Value"/>
  </r>
  <r>
    <s v="TRX0015"/>
    <d v="2024-05-18T00:00:00"/>
    <s v="CUST008"/>
    <x v="27"/>
    <s v="P002"/>
    <s v="Smartphone"/>
    <x v="0"/>
    <n v="5"/>
    <n v="699.99"/>
    <x v="2"/>
    <x v="3"/>
    <x v="2"/>
    <d v="2021-09-23T00:00:00"/>
    <n v="3499.95"/>
    <x v="1"/>
    <n v="2024"/>
    <n v="1696"/>
    <s v="VIP Customer"/>
  </r>
  <r>
    <s v="TRX0202"/>
    <d v="2024-05-19T00:00:00"/>
    <s v="CUST035"/>
    <x v="28"/>
    <s v="P010"/>
    <s v="Keyboard"/>
    <x v="0"/>
    <n v="3"/>
    <n v="89.99"/>
    <x v="2"/>
    <x v="0"/>
    <x v="1"/>
    <d v="2021-09-24T00:00:00"/>
    <n v="269.97000000000003"/>
    <x v="1"/>
    <n v="2024"/>
    <n v="1695"/>
    <s v="Low Value"/>
  </r>
  <r>
    <s v="TRX0042"/>
    <d v="2024-05-20T00:00:00"/>
    <s v="CUST019"/>
    <x v="29"/>
    <s v="P004"/>
    <s v="Coffee Maker"/>
    <x v="1"/>
    <n v="1"/>
    <n v="79.989999999999995"/>
    <x v="0"/>
    <x v="2"/>
    <x v="2"/>
    <d v="2021-09-25T00:00:00"/>
    <n v="79.989999999999995"/>
    <x v="1"/>
    <n v="2024"/>
    <n v="1694"/>
    <s v="Low Value"/>
  </r>
  <r>
    <s v="TRX0128"/>
    <d v="2024-05-21T00:00:00"/>
    <s v="CUST040"/>
    <x v="30"/>
    <s v="P005"/>
    <s v="Blender"/>
    <x v="1"/>
    <n v="2"/>
    <n v="59.99"/>
    <x v="0"/>
    <x v="3"/>
    <x v="0"/>
    <d v="2021-09-26T00:00:00"/>
    <n v="119.98"/>
    <x v="1"/>
    <n v="2024"/>
    <n v="1693"/>
    <s v="Low Value"/>
  </r>
  <r>
    <s v="TRX0117"/>
    <d v="2024-05-22T00:00:00"/>
    <s v="CUST017"/>
    <x v="6"/>
    <s v="P010"/>
    <s v="Keyboard"/>
    <x v="0"/>
    <n v="1"/>
    <n v="89.99"/>
    <x v="0"/>
    <x v="2"/>
    <x v="0"/>
    <d v="2021-09-27T00:00:00"/>
    <n v="89.99"/>
    <x v="1"/>
    <n v="2024"/>
    <n v="1692"/>
    <s v="Low Value"/>
  </r>
  <r>
    <s v="TRX0208"/>
    <d v="2024-05-23T00:00:00"/>
    <s v="CUST004"/>
    <x v="31"/>
    <s v="P010"/>
    <s v="Keyboard"/>
    <x v="0"/>
    <n v="5"/>
    <n v="89.99"/>
    <x v="1"/>
    <x v="4"/>
    <x v="2"/>
    <d v="2021-09-28T00:00:00"/>
    <n v="449.95"/>
    <x v="1"/>
    <n v="2024"/>
    <n v="1691"/>
    <s v="Low Value"/>
  </r>
  <r>
    <s v="TRX0234"/>
    <d v="2024-05-24T00:00:00"/>
    <s v="CUST013"/>
    <x v="1"/>
    <s v="P009"/>
    <s v="Monitor"/>
    <x v="0"/>
    <n v="5"/>
    <n v="249.99"/>
    <x v="1"/>
    <x v="4"/>
    <x v="2"/>
    <d v="2021-09-29T00:00:00"/>
    <n v="1249.95"/>
    <x v="1"/>
    <n v="2024"/>
    <n v="1690"/>
    <s v="High Value"/>
  </r>
  <r>
    <s v="TRX0121"/>
    <d v="2024-05-25T00:00:00"/>
    <s v="CUST028"/>
    <x v="32"/>
    <s v="P010"/>
    <s v="Keyboard"/>
    <x v="0"/>
    <n v="1"/>
    <n v="89.99"/>
    <x v="1"/>
    <x v="1"/>
    <x v="2"/>
    <d v="2021-09-30T00:00:00"/>
    <n v="89.99"/>
    <x v="1"/>
    <n v="2024"/>
    <n v="1689"/>
    <s v="Low Value"/>
  </r>
  <r>
    <s v="TRX0220"/>
    <d v="2024-05-26T00:00:00"/>
    <s v="CUST003"/>
    <x v="4"/>
    <s v="P008"/>
    <s v="Bookshelf"/>
    <x v="2"/>
    <n v="2"/>
    <n v="149.99"/>
    <x v="0"/>
    <x v="4"/>
    <x v="1"/>
    <d v="2021-10-01T00:00:00"/>
    <n v="299.98"/>
    <x v="1"/>
    <n v="2024"/>
    <n v="1688"/>
    <s v="Low Value"/>
  </r>
  <r>
    <s v="TRX0093"/>
    <d v="2024-05-27T00:00:00"/>
    <s v="CUST050"/>
    <x v="33"/>
    <s v="P005"/>
    <s v="Blender"/>
    <x v="1"/>
    <n v="4"/>
    <n v="59.99"/>
    <x v="0"/>
    <x v="4"/>
    <x v="2"/>
    <d v="2021-10-02T00:00:00"/>
    <n v="239.96"/>
    <x v="1"/>
    <n v="2024"/>
    <n v="1687"/>
    <s v="Low Value"/>
  </r>
  <r>
    <s v="TRX0088"/>
    <d v="2024-05-28T00:00:00"/>
    <s v="CUST006"/>
    <x v="24"/>
    <s v="P010"/>
    <s v="Keyboard"/>
    <x v="0"/>
    <n v="5"/>
    <n v="89.99"/>
    <x v="0"/>
    <x v="0"/>
    <x v="1"/>
    <d v="2021-10-03T00:00:00"/>
    <n v="449.95"/>
    <x v="1"/>
    <n v="2024"/>
    <n v="1686"/>
    <s v="Low Value"/>
  </r>
  <r>
    <s v="TRX0115"/>
    <d v="2024-05-29T00:00:00"/>
    <s v="CUST012"/>
    <x v="18"/>
    <s v="P010"/>
    <s v="Keyboard"/>
    <x v="0"/>
    <n v="2"/>
    <n v="89.99"/>
    <x v="1"/>
    <x v="1"/>
    <x v="1"/>
    <d v="2021-10-04T00:00:00"/>
    <n v="179.98"/>
    <x v="1"/>
    <n v="2024"/>
    <n v="1685"/>
    <s v="Low Value"/>
  </r>
  <r>
    <s v="TRX0154"/>
    <d v="2024-05-30T00:00:00"/>
    <s v="CUST023"/>
    <x v="0"/>
    <s v="P001"/>
    <s v="Laptop"/>
    <x v="0"/>
    <n v="5"/>
    <n v="899.99"/>
    <x v="1"/>
    <x v="1"/>
    <x v="2"/>
    <d v="2021-10-05T00:00:00"/>
    <n v="4499.95"/>
    <x v="1"/>
    <n v="2024"/>
    <n v="1684"/>
    <s v="VIP Customer"/>
  </r>
  <r>
    <s v="TRX0044"/>
    <d v="2024-05-31T00:00:00"/>
    <s v="CUST029"/>
    <x v="23"/>
    <s v="P001"/>
    <s v="Laptop"/>
    <x v="0"/>
    <n v="5"/>
    <n v="899.99"/>
    <x v="2"/>
    <x v="4"/>
    <x v="1"/>
    <d v="2021-10-06T00:00:00"/>
    <n v="4499.95"/>
    <x v="1"/>
    <n v="2024"/>
    <n v="1683"/>
    <s v="VIP Customer"/>
  </r>
  <r>
    <s v="TRX0061"/>
    <d v="2024-06-01T00:00:00"/>
    <s v="CUST028"/>
    <x v="32"/>
    <s v="P005"/>
    <s v="Blender"/>
    <x v="1"/>
    <n v="1"/>
    <n v="59.99"/>
    <x v="3"/>
    <x v="3"/>
    <x v="1"/>
    <d v="2021-10-07T00:00:00"/>
    <n v="59.99"/>
    <x v="2"/>
    <n v="2024"/>
    <n v="1682"/>
    <s v="Low Value"/>
  </r>
  <r>
    <s v="TRX0150"/>
    <d v="2024-06-02T00:00:00"/>
    <s v="CUST008"/>
    <x v="27"/>
    <s v="P007"/>
    <s v="Desk"/>
    <x v="2"/>
    <n v="2"/>
    <n v="299.99"/>
    <x v="3"/>
    <x v="4"/>
    <x v="2"/>
    <d v="2021-10-08T00:00:00"/>
    <n v="599.98"/>
    <x v="2"/>
    <n v="2024"/>
    <n v="1681"/>
    <s v="Medium Value"/>
  </r>
  <r>
    <s v="TRX0025"/>
    <d v="2024-06-03T00:00:00"/>
    <s v="CUST049"/>
    <x v="34"/>
    <s v="P010"/>
    <s v="Keyboard"/>
    <x v="0"/>
    <n v="4"/>
    <n v="89.99"/>
    <x v="3"/>
    <x v="1"/>
    <x v="0"/>
    <d v="2021-10-09T00:00:00"/>
    <n v="359.96"/>
    <x v="2"/>
    <n v="2024"/>
    <n v="1680"/>
    <s v="Low Value"/>
  </r>
  <r>
    <s v="TRX0078"/>
    <d v="2024-06-04T00:00:00"/>
    <s v="CUST021"/>
    <x v="2"/>
    <s v="P004"/>
    <s v="Coffee Maker"/>
    <x v="1"/>
    <n v="1"/>
    <n v="79.989999999999995"/>
    <x v="2"/>
    <x v="0"/>
    <x v="1"/>
    <d v="2021-10-10T00:00:00"/>
    <n v="79.989999999999995"/>
    <x v="2"/>
    <n v="2024"/>
    <n v="1679"/>
    <s v="Low Value"/>
  </r>
  <r>
    <s v="TRX0007"/>
    <d v="2024-06-05T00:00:00"/>
    <s v="CUST009"/>
    <x v="7"/>
    <s v="P010"/>
    <s v="Keyboard"/>
    <x v="0"/>
    <n v="2"/>
    <n v="89.99"/>
    <x v="0"/>
    <x v="3"/>
    <x v="0"/>
    <d v="2021-10-11T00:00:00"/>
    <n v="179.98"/>
    <x v="2"/>
    <n v="2024"/>
    <n v="1678"/>
    <s v="Low Value"/>
  </r>
  <r>
    <s v="TRX0184"/>
    <d v="2024-06-06T00:00:00"/>
    <s v="CUST046"/>
    <x v="3"/>
    <s v="P002"/>
    <s v="Smartphone"/>
    <x v="0"/>
    <n v="3"/>
    <n v="699.99"/>
    <x v="1"/>
    <x v="4"/>
    <x v="1"/>
    <d v="2021-10-12T00:00:00"/>
    <n v="2099.9699999999998"/>
    <x v="2"/>
    <n v="2024"/>
    <n v="1677"/>
    <s v="VIP Customer"/>
  </r>
  <r>
    <s v="TRX0104"/>
    <d v="2024-06-07T00:00:00"/>
    <s v="CUST012"/>
    <x v="18"/>
    <s v="P001"/>
    <s v="Laptop"/>
    <x v="0"/>
    <n v="4"/>
    <n v="899.99"/>
    <x v="1"/>
    <x v="4"/>
    <x v="1"/>
    <d v="2021-10-13T00:00:00"/>
    <n v="3599.96"/>
    <x v="2"/>
    <n v="2024"/>
    <n v="1676"/>
    <s v="VIP Customer"/>
  </r>
  <r>
    <s v="TRX0127"/>
    <d v="2024-06-08T00:00:00"/>
    <s v="CUST030"/>
    <x v="22"/>
    <s v="P008"/>
    <s v="Bookshelf"/>
    <x v="2"/>
    <n v="1"/>
    <n v="149.99"/>
    <x v="2"/>
    <x v="4"/>
    <x v="0"/>
    <d v="2021-10-14T00:00:00"/>
    <n v="149.99"/>
    <x v="2"/>
    <n v="2024"/>
    <n v="1675"/>
    <s v="Low Value"/>
  </r>
  <r>
    <s v="TRX0096"/>
    <d v="2024-06-09T00:00:00"/>
    <s v="CUST002"/>
    <x v="25"/>
    <s v="P010"/>
    <s v="Keyboard"/>
    <x v="0"/>
    <n v="2"/>
    <n v="89.99"/>
    <x v="2"/>
    <x v="0"/>
    <x v="1"/>
    <d v="2021-10-15T00:00:00"/>
    <n v="179.98"/>
    <x v="2"/>
    <n v="2024"/>
    <n v="1674"/>
    <s v="Low Value"/>
  </r>
  <r>
    <s v="TRX0192"/>
    <d v="2024-06-10T00:00:00"/>
    <s v="CUST017"/>
    <x v="6"/>
    <s v="P010"/>
    <s v="Keyboard"/>
    <x v="0"/>
    <n v="1"/>
    <n v="89.99"/>
    <x v="2"/>
    <x v="3"/>
    <x v="2"/>
    <d v="2021-10-16T00:00:00"/>
    <n v="89.99"/>
    <x v="2"/>
    <n v="2024"/>
    <n v="1673"/>
    <s v="Low Value"/>
  </r>
  <r>
    <s v="TRX0052"/>
    <d v="2024-06-11T00:00:00"/>
    <s v="CUST022"/>
    <x v="9"/>
    <s v="P010"/>
    <s v="Keyboard"/>
    <x v="0"/>
    <n v="1"/>
    <n v="89.99"/>
    <x v="0"/>
    <x v="1"/>
    <x v="2"/>
    <d v="2021-10-17T00:00:00"/>
    <n v="89.99"/>
    <x v="2"/>
    <n v="2024"/>
    <n v="1672"/>
    <s v="Low Value"/>
  </r>
  <r>
    <s v="TRX0070"/>
    <d v="2024-06-12T00:00:00"/>
    <s v="CUST007"/>
    <x v="35"/>
    <s v="P004"/>
    <s v="Coffee Maker"/>
    <x v="1"/>
    <n v="5"/>
    <n v="79.989999999999995"/>
    <x v="3"/>
    <x v="0"/>
    <x v="0"/>
    <d v="2021-10-18T00:00:00"/>
    <n v="399.95"/>
    <x v="2"/>
    <n v="2024"/>
    <n v="1671"/>
    <s v="Low Value"/>
  </r>
  <r>
    <s v="TRX0086"/>
    <d v="2024-06-13T00:00:00"/>
    <s v="CUST020"/>
    <x v="36"/>
    <s v="P008"/>
    <s v="Bookshelf"/>
    <x v="2"/>
    <n v="1"/>
    <n v="149.99"/>
    <x v="2"/>
    <x v="2"/>
    <x v="0"/>
    <d v="2021-10-19T00:00:00"/>
    <n v="149.99"/>
    <x v="2"/>
    <n v="2024"/>
    <n v="1670"/>
    <s v="Low Value"/>
  </r>
  <r>
    <s v="TRX0113"/>
    <d v="2024-06-14T00:00:00"/>
    <s v="CUST003"/>
    <x v="4"/>
    <s v="P002"/>
    <s v="Smartphone"/>
    <x v="0"/>
    <n v="2"/>
    <n v="699.99"/>
    <x v="2"/>
    <x v="4"/>
    <x v="1"/>
    <d v="2021-10-20T00:00:00"/>
    <n v="1399.98"/>
    <x v="2"/>
    <n v="2024"/>
    <n v="1669"/>
    <s v="High Value"/>
  </r>
  <r>
    <s v="TRX0114"/>
    <d v="2024-06-15T00:00:00"/>
    <s v="CUST018"/>
    <x v="17"/>
    <s v="P010"/>
    <s v="Keyboard"/>
    <x v="0"/>
    <n v="5"/>
    <n v="89.99"/>
    <x v="3"/>
    <x v="2"/>
    <x v="1"/>
    <d v="2021-10-21T00:00:00"/>
    <n v="449.95"/>
    <x v="2"/>
    <n v="2024"/>
    <n v="1668"/>
    <s v="Low Value"/>
  </r>
  <r>
    <s v="TRX0136"/>
    <d v="2024-06-16T00:00:00"/>
    <s v="CUST049"/>
    <x v="34"/>
    <s v="P005"/>
    <s v="Blender"/>
    <x v="1"/>
    <n v="4"/>
    <n v="59.99"/>
    <x v="0"/>
    <x v="1"/>
    <x v="2"/>
    <d v="2021-10-22T00:00:00"/>
    <n v="239.96"/>
    <x v="2"/>
    <n v="2024"/>
    <n v="1667"/>
    <s v="Low Value"/>
  </r>
  <r>
    <s v="TRX0018"/>
    <d v="2024-06-17T00:00:00"/>
    <s v="CUST013"/>
    <x v="1"/>
    <s v="P003"/>
    <s v="Headphones"/>
    <x v="0"/>
    <n v="1"/>
    <n v="149.99"/>
    <x v="0"/>
    <x v="0"/>
    <x v="2"/>
    <d v="2021-10-23T00:00:00"/>
    <n v="149.99"/>
    <x v="2"/>
    <n v="2024"/>
    <n v="1666"/>
    <s v="Low Value"/>
  </r>
  <r>
    <s v="TRX0141"/>
    <d v="2024-06-18T00:00:00"/>
    <s v="CUST033"/>
    <x v="37"/>
    <s v="P007"/>
    <s v="Desk"/>
    <x v="2"/>
    <n v="1"/>
    <n v="299.99"/>
    <x v="1"/>
    <x v="2"/>
    <x v="1"/>
    <d v="2021-10-24T00:00:00"/>
    <n v="299.99"/>
    <x v="2"/>
    <n v="2024"/>
    <n v="1665"/>
    <s v="Low Value"/>
  </r>
  <r>
    <s v="TRX0097"/>
    <d v="2024-06-19T00:00:00"/>
    <s v="CUST033"/>
    <x v="37"/>
    <s v="P006"/>
    <s v="Office Chair"/>
    <x v="2"/>
    <n v="2"/>
    <n v="199.99"/>
    <x v="0"/>
    <x v="2"/>
    <x v="0"/>
    <d v="2021-10-25T00:00:00"/>
    <n v="399.98"/>
    <x v="2"/>
    <n v="2024"/>
    <n v="1664"/>
    <s v="Low Value"/>
  </r>
  <r>
    <s v="TRX0169"/>
    <d v="2024-06-20T00:00:00"/>
    <s v="CUST047"/>
    <x v="38"/>
    <s v="P005"/>
    <s v="Blender"/>
    <x v="1"/>
    <n v="3"/>
    <n v="59.99"/>
    <x v="1"/>
    <x v="3"/>
    <x v="0"/>
    <d v="2021-10-26T00:00:00"/>
    <n v="179.97"/>
    <x v="2"/>
    <n v="2024"/>
    <n v="1663"/>
    <s v="Low Value"/>
  </r>
  <r>
    <s v="TRX0216"/>
    <d v="2024-06-21T00:00:00"/>
    <s v="CUST041"/>
    <x v="10"/>
    <s v="P008"/>
    <s v="Bookshelf"/>
    <x v="2"/>
    <n v="3"/>
    <n v="149.99"/>
    <x v="0"/>
    <x v="0"/>
    <x v="1"/>
    <d v="2021-10-27T00:00:00"/>
    <n v="449.97"/>
    <x v="2"/>
    <n v="2024"/>
    <n v="1662"/>
    <s v="Low Value"/>
  </r>
  <r>
    <s v="TRX0131"/>
    <d v="2024-06-22T00:00:00"/>
    <s v="CUST026"/>
    <x v="8"/>
    <s v="P006"/>
    <s v="Office Chair"/>
    <x v="2"/>
    <n v="3"/>
    <n v="199.99"/>
    <x v="0"/>
    <x v="2"/>
    <x v="1"/>
    <d v="2021-10-28T00:00:00"/>
    <n v="599.97"/>
    <x v="2"/>
    <n v="2024"/>
    <n v="1661"/>
    <s v="Medium Value"/>
  </r>
  <r>
    <s v="TRX0162"/>
    <d v="2024-06-23T00:00:00"/>
    <s v="CUST040"/>
    <x v="30"/>
    <s v="P001"/>
    <s v="Laptop"/>
    <x v="0"/>
    <n v="1"/>
    <n v="899.99"/>
    <x v="0"/>
    <x v="0"/>
    <x v="2"/>
    <d v="2021-10-29T00:00:00"/>
    <n v="899.99"/>
    <x v="2"/>
    <n v="2024"/>
    <n v="1660"/>
    <s v="Medium Value"/>
  </r>
  <r>
    <s v="TRX0244"/>
    <d v="2024-06-24T00:00:00"/>
    <s v="CUST013"/>
    <x v="1"/>
    <s v="P001"/>
    <s v="Laptop"/>
    <x v="0"/>
    <n v="5"/>
    <n v="899.99"/>
    <x v="3"/>
    <x v="1"/>
    <x v="2"/>
    <d v="2021-10-30T00:00:00"/>
    <n v="4499.95"/>
    <x v="2"/>
    <n v="2024"/>
    <n v="1659"/>
    <s v="VIP Customer"/>
  </r>
  <r>
    <s v="TRX0006"/>
    <d v="2024-06-25T00:00:00"/>
    <s v="CUST007"/>
    <x v="35"/>
    <s v="P005"/>
    <s v="Blender"/>
    <x v="1"/>
    <n v="2"/>
    <n v="59.99"/>
    <x v="0"/>
    <x v="2"/>
    <x v="2"/>
    <d v="2021-10-31T00:00:00"/>
    <n v="119.98"/>
    <x v="2"/>
    <n v="2024"/>
    <n v="1658"/>
    <s v="Low Value"/>
  </r>
  <r>
    <s v="TRX0215"/>
    <d v="2024-06-26T00:00:00"/>
    <s v="CUST047"/>
    <x v="38"/>
    <s v="P009"/>
    <s v="Monitor"/>
    <x v="0"/>
    <n v="4"/>
    <n v="249.99"/>
    <x v="3"/>
    <x v="0"/>
    <x v="2"/>
    <d v="2021-11-01T00:00:00"/>
    <n v="999.96"/>
    <x v="2"/>
    <n v="2024"/>
    <n v="1657"/>
    <s v="Medium Value"/>
  </r>
  <r>
    <s v="TRX0080"/>
    <d v="2024-06-27T00:00:00"/>
    <s v="CUST018"/>
    <x v="17"/>
    <s v="P009"/>
    <s v="Monitor"/>
    <x v="0"/>
    <n v="2"/>
    <n v="249.99"/>
    <x v="0"/>
    <x v="2"/>
    <x v="1"/>
    <d v="2021-11-02T00:00:00"/>
    <n v="499.98"/>
    <x v="2"/>
    <n v="2024"/>
    <n v="1656"/>
    <s v="Low Value"/>
  </r>
  <r>
    <s v="TRX0228"/>
    <d v="2024-06-28T00:00:00"/>
    <s v="CUST019"/>
    <x v="29"/>
    <s v="P007"/>
    <s v="Desk"/>
    <x v="2"/>
    <n v="1"/>
    <n v="299.99"/>
    <x v="0"/>
    <x v="1"/>
    <x v="0"/>
    <d v="2021-11-03T00:00:00"/>
    <n v="299.99"/>
    <x v="2"/>
    <n v="2024"/>
    <n v="1655"/>
    <s v="Low Value"/>
  </r>
  <r>
    <s v="TRX0157"/>
    <d v="2024-06-29T00:00:00"/>
    <s v="CUST025"/>
    <x v="14"/>
    <s v="P010"/>
    <s v="Keyboard"/>
    <x v="0"/>
    <n v="2"/>
    <n v="89.99"/>
    <x v="2"/>
    <x v="1"/>
    <x v="0"/>
    <d v="2021-11-04T00:00:00"/>
    <n v="179.98"/>
    <x v="2"/>
    <n v="2024"/>
    <n v="1654"/>
    <s v="Low Value"/>
  </r>
  <r>
    <s v="TRX0002"/>
    <d v="2024-06-30T00:00:00"/>
    <s v="CUST019"/>
    <x v="29"/>
    <s v="P007"/>
    <s v="Desk"/>
    <x v="2"/>
    <n v="3"/>
    <n v="299.99"/>
    <x v="0"/>
    <x v="0"/>
    <x v="0"/>
    <d v="2021-11-05T00:00:00"/>
    <n v="899.97"/>
    <x v="2"/>
    <n v="2024"/>
    <n v="1653"/>
    <s v="Medium Value"/>
  </r>
  <r>
    <s v="TRX0217"/>
    <d v="2024-07-01T00:00:00"/>
    <s v="CUST025"/>
    <x v="14"/>
    <s v="P002"/>
    <s v="Smartphone"/>
    <x v="0"/>
    <n v="2"/>
    <n v="699.99"/>
    <x v="1"/>
    <x v="2"/>
    <x v="1"/>
    <d v="2021-11-06T00:00:00"/>
    <n v="1399.98"/>
    <x v="3"/>
    <n v="2024"/>
    <n v="1652"/>
    <s v="High Value"/>
  </r>
  <r>
    <s v="TRX0249"/>
    <d v="2024-07-02T00:00:00"/>
    <s v="CUST030"/>
    <x v="22"/>
    <s v="P001"/>
    <s v="Laptop"/>
    <x v="0"/>
    <n v="4"/>
    <n v="899.99"/>
    <x v="3"/>
    <x v="1"/>
    <x v="2"/>
    <d v="2021-11-07T00:00:00"/>
    <n v="3599.96"/>
    <x v="3"/>
    <n v="2024"/>
    <n v="1651"/>
    <s v="VIP Customer"/>
  </r>
  <r>
    <s v="TRX0065"/>
    <d v="2024-07-03T00:00:00"/>
    <s v="CUST016"/>
    <x v="39"/>
    <s v="P008"/>
    <s v="Bookshelf"/>
    <x v="2"/>
    <n v="2"/>
    <n v="149.99"/>
    <x v="1"/>
    <x v="3"/>
    <x v="0"/>
    <d v="2021-11-08T00:00:00"/>
    <n v="299.98"/>
    <x v="3"/>
    <n v="2024"/>
    <n v="1650"/>
    <s v="Low Value"/>
  </r>
  <r>
    <s v="TRX0176"/>
    <d v="2024-07-04T00:00:00"/>
    <s v="CUST044"/>
    <x v="19"/>
    <s v="P008"/>
    <s v="Bookshelf"/>
    <x v="2"/>
    <n v="2"/>
    <n v="149.99"/>
    <x v="3"/>
    <x v="4"/>
    <x v="2"/>
    <d v="2021-11-09T00:00:00"/>
    <n v="299.98"/>
    <x v="3"/>
    <n v="2024"/>
    <n v="1649"/>
    <s v="Low Value"/>
  </r>
  <r>
    <s v="TRX0101"/>
    <d v="2024-07-05T00:00:00"/>
    <s v="CUST010"/>
    <x v="15"/>
    <s v="P010"/>
    <s v="Keyboard"/>
    <x v="0"/>
    <n v="1"/>
    <n v="89.99"/>
    <x v="1"/>
    <x v="2"/>
    <x v="2"/>
    <d v="2021-11-10T00:00:00"/>
    <n v="89.99"/>
    <x v="3"/>
    <n v="2024"/>
    <n v="1648"/>
    <s v="Low Value"/>
  </r>
  <r>
    <s v="TRX0205"/>
    <d v="2024-07-06T00:00:00"/>
    <s v="CUST025"/>
    <x v="14"/>
    <s v="P007"/>
    <s v="Desk"/>
    <x v="2"/>
    <n v="5"/>
    <n v="299.99"/>
    <x v="1"/>
    <x v="2"/>
    <x v="0"/>
    <d v="2021-11-11T00:00:00"/>
    <n v="1499.95"/>
    <x v="3"/>
    <n v="2024"/>
    <n v="1647"/>
    <s v="High Value"/>
  </r>
  <r>
    <s v="TRX0020"/>
    <d v="2024-07-07T00:00:00"/>
    <s v="CUST007"/>
    <x v="35"/>
    <s v="P003"/>
    <s v="Headphones"/>
    <x v="0"/>
    <n v="4"/>
    <n v="149.99"/>
    <x v="3"/>
    <x v="1"/>
    <x v="1"/>
    <d v="2021-11-12T00:00:00"/>
    <n v="599.96"/>
    <x v="3"/>
    <n v="2024"/>
    <n v="1646"/>
    <s v="Medium Value"/>
  </r>
  <r>
    <s v="TRX0075"/>
    <d v="2024-07-08T00:00:00"/>
    <s v="CUST020"/>
    <x v="36"/>
    <s v="P009"/>
    <s v="Monitor"/>
    <x v="0"/>
    <n v="5"/>
    <n v="249.99"/>
    <x v="2"/>
    <x v="4"/>
    <x v="1"/>
    <d v="2021-11-13T00:00:00"/>
    <n v="1249.95"/>
    <x v="3"/>
    <n v="2024"/>
    <n v="1645"/>
    <s v="High Value"/>
  </r>
  <r>
    <s v="TRX0098"/>
    <d v="2024-07-09T00:00:00"/>
    <s v="CUST026"/>
    <x v="8"/>
    <s v="P009"/>
    <s v="Monitor"/>
    <x v="0"/>
    <n v="3"/>
    <n v="249.99"/>
    <x v="2"/>
    <x v="2"/>
    <x v="1"/>
    <d v="2021-11-14T00:00:00"/>
    <n v="749.97"/>
    <x v="3"/>
    <n v="2024"/>
    <n v="1644"/>
    <s v="Medium Value"/>
  </r>
  <r>
    <s v="TRX0247"/>
    <d v="2024-07-10T00:00:00"/>
    <s v="CUST046"/>
    <x v="3"/>
    <s v="P006"/>
    <s v="Office Chair"/>
    <x v="2"/>
    <n v="4"/>
    <n v="199.99"/>
    <x v="0"/>
    <x v="2"/>
    <x v="2"/>
    <d v="2021-11-15T00:00:00"/>
    <n v="799.96"/>
    <x v="3"/>
    <n v="2024"/>
    <n v="1643"/>
    <s v="Medium Value"/>
  </r>
  <r>
    <s v="TRX0027"/>
    <d v="2024-07-11T00:00:00"/>
    <s v="CUST028"/>
    <x v="32"/>
    <s v="P006"/>
    <s v="Office Chair"/>
    <x v="2"/>
    <n v="5"/>
    <n v="199.99"/>
    <x v="0"/>
    <x v="2"/>
    <x v="1"/>
    <d v="2021-11-16T00:00:00"/>
    <n v="999.95"/>
    <x v="3"/>
    <n v="2024"/>
    <n v="1642"/>
    <s v="Medium Value"/>
  </r>
  <r>
    <s v="TRX0140"/>
    <d v="2024-07-12T00:00:00"/>
    <s v="CUST025"/>
    <x v="14"/>
    <s v="P010"/>
    <s v="Keyboard"/>
    <x v="0"/>
    <n v="2"/>
    <n v="89.99"/>
    <x v="0"/>
    <x v="4"/>
    <x v="1"/>
    <d v="2021-11-17T00:00:00"/>
    <n v="179.98"/>
    <x v="3"/>
    <n v="2024"/>
    <n v="1641"/>
    <s v="Low Value"/>
  </r>
  <r>
    <s v="TRX0132"/>
    <d v="2024-07-13T00:00:00"/>
    <s v="CUST047"/>
    <x v="38"/>
    <s v="P001"/>
    <s v="Laptop"/>
    <x v="0"/>
    <n v="5"/>
    <n v="899.99"/>
    <x v="3"/>
    <x v="4"/>
    <x v="0"/>
    <d v="2021-11-18T00:00:00"/>
    <n v="4499.95"/>
    <x v="3"/>
    <n v="2024"/>
    <n v="1640"/>
    <s v="VIP Customer"/>
  </r>
  <r>
    <s v="TRX0031"/>
    <d v="2024-07-14T00:00:00"/>
    <s v="CUST036"/>
    <x v="20"/>
    <s v="P003"/>
    <s v="Headphones"/>
    <x v="0"/>
    <n v="3"/>
    <n v="149.99"/>
    <x v="2"/>
    <x v="4"/>
    <x v="0"/>
    <d v="2021-11-19T00:00:00"/>
    <n v="449.97"/>
    <x v="3"/>
    <n v="2024"/>
    <n v="1639"/>
    <s v="Low Value"/>
  </r>
  <r>
    <s v="TRX0236"/>
    <d v="2024-07-15T00:00:00"/>
    <s v="CUST044"/>
    <x v="19"/>
    <s v="P008"/>
    <s v="Bookshelf"/>
    <x v="2"/>
    <n v="5"/>
    <n v="149.99"/>
    <x v="1"/>
    <x v="0"/>
    <x v="0"/>
    <d v="2021-11-20T00:00:00"/>
    <n v="749.95"/>
    <x v="3"/>
    <n v="2024"/>
    <n v="1638"/>
    <s v="Medium Value"/>
  </r>
  <r>
    <s v="TRX0001"/>
    <d v="2024-07-16T00:00:00"/>
    <s v="CUST039"/>
    <x v="40"/>
    <s v="P004"/>
    <s v="Coffee Maker"/>
    <x v="1"/>
    <n v="3"/>
    <n v="79.989999999999995"/>
    <x v="0"/>
    <x v="0"/>
    <x v="1"/>
    <d v="2021-11-21T00:00:00"/>
    <n v="239.97"/>
    <x v="3"/>
    <n v="2024"/>
    <n v="1637"/>
    <s v="Low Value"/>
  </r>
  <r>
    <s v="TRX0037"/>
    <d v="2024-07-17T00:00:00"/>
    <s v="CUST035"/>
    <x v="28"/>
    <s v="P009"/>
    <s v="Monitor"/>
    <x v="0"/>
    <n v="2"/>
    <n v="249.99"/>
    <x v="0"/>
    <x v="1"/>
    <x v="2"/>
    <d v="2021-11-22T00:00:00"/>
    <n v="499.98"/>
    <x v="3"/>
    <n v="2024"/>
    <n v="1636"/>
    <s v="Low Value"/>
  </r>
  <r>
    <s v="TRX0058"/>
    <d v="2024-07-18T00:00:00"/>
    <s v="CUST047"/>
    <x v="38"/>
    <s v="P002"/>
    <s v="Smartphone"/>
    <x v="0"/>
    <n v="1"/>
    <n v="699.99"/>
    <x v="0"/>
    <x v="0"/>
    <x v="1"/>
    <d v="2021-11-23T00:00:00"/>
    <n v="699.99"/>
    <x v="3"/>
    <n v="2024"/>
    <n v="1635"/>
    <s v="Medium Value"/>
  </r>
  <r>
    <s v="TRX0170"/>
    <d v="2024-07-19T00:00:00"/>
    <s v="CUST034"/>
    <x v="41"/>
    <s v="P003"/>
    <s v="Headphones"/>
    <x v="0"/>
    <n v="3"/>
    <n v="149.99"/>
    <x v="0"/>
    <x v="3"/>
    <x v="1"/>
    <d v="2021-11-24T00:00:00"/>
    <n v="449.97"/>
    <x v="3"/>
    <n v="2024"/>
    <n v="1634"/>
    <s v="Low Value"/>
  </r>
  <r>
    <s v="TRX0248"/>
    <d v="2024-07-20T00:00:00"/>
    <s v="CUST032"/>
    <x v="42"/>
    <s v="P002"/>
    <s v="Smartphone"/>
    <x v="0"/>
    <n v="2"/>
    <n v="699.99"/>
    <x v="1"/>
    <x v="2"/>
    <x v="1"/>
    <d v="2021-11-25T00:00:00"/>
    <n v="1399.98"/>
    <x v="3"/>
    <n v="2024"/>
    <n v="1633"/>
    <s v="High Value"/>
  </r>
  <r>
    <s v="TRX0099"/>
    <d v="2024-07-21T00:00:00"/>
    <s v="CUST034"/>
    <x v="41"/>
    <s v="P009"/>
    <s v="Monitor"/>
    <x v="0"/>
    <n v="1"/>
    <n v="249.99"/>
    <x v="1"/>
    <x v="3"/>
    <x v="1"/>
    <d v="2021-11-26T00:00:00"/>
    <n v="249.99"/>
    <x v="3"/>
    <n v="2024"/>
    <n v="1632"/>
    <s v="Low Value"/>
  </r>
  <r>
    <s v="TRX0074"/>
    <d v="2024-07-22T00:00:00"/>
    <s v="CUST023"/>
    <x v="0"/>
    <s v="P009"/>
    <s v="Monitor"/>
    <x v="0"/>
    <n v="1"/>
    <n v="249.99"/>
    <x v="3"/>
    <x v="2"/>
    <x v="1"/>
    <d v="2021-11-27T00:00:00"/>
    <n v="249.99"/>
    <x v="3"/>
    <n v="2024"/>
    <n v="1631"/>
    <s v="Low Value"/>
  </r>
  <r>
    <s v="TRX0225"/>
    <d v="2024-07-23T00:00:00"/>
    <s v="CUST039"/>
    <x v="40"/>
    <s v="P002"/>
    <s v="Smartphone"/>
    <x v="0"/>
    <n v="2"/>
    <n v="699.99"/>
    <x v="3"/>
    <x v="0"/>
    <x v="1"/>
    <d v="2021-11-28T00:00:00"/>
    <n v="1399.98"/>
    <x v="3"/>
    <n v="2024"/>
    <n v="1630"/>
    <s v="High Value"/>
  </r>
  <r>
    <s v="TRX0100"/>
    <d v="2024-07-24T00:00:00"/>
    <s v="CUST031"/>
    <x v="26"/>
    <s v="P005"/>
    <s v="Blender"/>
    <x v="1"/>
    <n v="3"/>
    <n v="59.99"/>
    <x v="1"/>
    <x v="0"/>
    <x v="1"/>
    <d v="2021-11-29T00:00:00"/>
    <n v="179.97"/>
    <x v="3"/>
    <n v="2024"/>
    <n v="1629"/>
    <s v="Low Value"/>
  </r>
  <r>
    <s v="TRX0142"/>
    <d v="2024-07-25T00:00:00"/>
    <s v="CUST002"/>
    <x v="25"/>
    <s v="P005"/>
    <s v="Blender"/>
    <x v="1"/>
    <n v="3"/>
    <n v="59.99"/>
    <x v="2"/>
    <x v="4"/>
    <x v="2"/>
    <d v="2021-11-30T00:00:00"/>
    <n v="179.97"/>
    <x v="3"/>
    <n v="2024"/>
    <n v="1628"/>
    <s v="Low Value"/>
  </r>
  <r>
    <s v="TRX0112"/>
    <d v="2024-07-26T00:00:00"/>
    <s v="CUST008"/>
    <x v="27"/>
    <s v="P004"/>
    <s v="Coffee Maker"/>
    <x v="1"/>
    <n v="4"/>
    <n v="79.989999999999995"/>
    <x v="0"/>
    <x v="2"/>
    <x v="0"/>
    <d v="2021-12-01T00:00:00"/>
    <n v="319.95999999999998"/>
    <x v="3"/>
    <n v="2024"/>
    <n v="1627"/>
    <s v="Low Value"/>
  </r>
  <r>
    <s v="TRX0161"/>
    <d v="2024-07-27T00:00:00"/>
    <s v="CUST017"/>
    <x v="6"/>
    <s v="P004"/>
    <s v="Coffee Maker"/>
    <x v="1"/>
    <n v="1"/>
    <n v="79.989999999999995"/>
    <x v="0"/>
    <x v="3"/>
    <x v="0"/>
    <d v="2021-12-02T00:00:00"/>
    <n v="79.989999999999995"/>
    <x v="3"/>
    <n v="2024"/>
    <n v="1626"/>
    <s v="Low Value"/>
  </r>
  <r>
    <s v="TRX0108"/>
    <d v="2024-07-28T00:00:00"/>
    <s v="CUST024"/>
    <x v="5"/>
    <s v="P007"/>
    <s v="Desk"/>
    <x v="2"/>
    <n v="3"/>
    <n v="299.99"/>
    <x v="1"/>
    <x v="0"/>
    <x v="1"/>
    <d v="2021-12-03T00:00:00"/>
    <n v="899.97"/>
    <x v="3"/>
    <n v="2024"/>
    <n v="1625"/>
    <s v="Medium Value"/>
  </r>
  <r>
    <s v="TRX0211"/>
    <d v="2024-07-29T00:00:00"/>
    <s v="CUST046"/>
    <x v="3"/>
    <s v="P010"/>
    <s v="Keyboard"/>
    <x v="0"/>
    <n v="2"/>
    <n v="89.99"/>
    <x v="1"/>
    <x v="1"/>
    <x v="1"/>
    <d v="2021-12-04T00:00:00"/>
    <n v="179.98"/>
    <x v="3"/>
    <n v="2024"/>
    <n v="1624"/>
    <s v="Low Value"/>
  </r>
  <r>
    <s v="TRX0005"/>
    <d v="2024-07-30T00:00:00"/>
    <s v="CUST042"/>
    <x v="43"/>
    <s v="P003"/>
    <s v="Headphones"/>
    <x v="0"/>
    <n v="4"/>
    <n v="149.99"/>
    <x v="0"/>
    <x v="2"/>
    <x v="0"/>
    <d v="2021-12-05T00:00:00"/>
    <n v="599.96"/>
    <x v="3"/>
    <n v="2024"/>
    <n v="1623"/>
    <s v="Medium Value"/>
  </r>
  <r>
    <s v="TRX0195"/>
    <d v="2024-07-31T00:00:00"/>
    <s v="CUST026"/>
    <x v="8"/>
    <s v="P009"/>
    <s v="Monitor"/>
    <x v="0"/>
    <n v="2"/>
    <n v="249.99"/>
    <x v="2"/>
    <x v="1"/>
    <x v="0"/>
    <d v="2021-12-06T00:00:00"/>
    <n v="499.98"/>
    <x v="3"/>
    <n v="2024"/>
    <n v="1622"/>
    <s v="Low Value"/>
  </r>
  <r>
    <s v="TRX0054"/>
    <d v="2024-08-01T00:00:00"/>
    <s v="CUST004"/>
    <x v="31"/>
    <s v="P006"/>
    <s v="Office Chair"/>
    <x v="2"/>
    <n v="4"/>
    <n v="199.99"/>
    <x v="3"/>
    <x v="4"/>
    <x v="0"/>
    <d v="2021-12-07T00:00:00"/>
    <n v="799.96"/>
    <x v="4"/>
    <n v="2024"/>
    <n v="1621"/>
    <s v="Medium Value"/>
  </r>
  <r>
    <s v="TRX0077"/>
    <d v="2024-08-02T00:00:00"/>
    <s v="CUST019"/>
    <x v="29"/>
    <s v="P010"/>
    <s v="Keyboard"/>
    <x v="0"/>
    <n v="5"/>
    <n v="89.99"/>
    <x v="1"/>
    <x v="4"/>
    <x v="1"/>
    <d v="2021-12-08T00:00:00"/>
    <n v="449.95"/>
    <x v="4"/>
    <n v="2024"/>
    <n v="1620"/>
    <s v="Low Value"/>
  </r>
  <r>
    <s v="TRX0111"/>
    <d v="2024-08-03T00:00:00"/>
    <s v="CUST011"/>
    <x v="44"/>
    <s v="P003"/>
    <s v="Headphones"/>
    <x v="0"/>
    <n v="1"/>
    <n v="149.99"/>
    <x v="2"/>
    <x v="4"/>
    <x v="2"/>
    <d v="2021-12-09T00:00:00"/>
    <n v="149.99"/>
    <x v="4"/>
    <n v="2024"/>
    <n v="1619"/>
    <s v="Low Value"/>
  </r>
  <r>
    <s v="TRX0123"/>
    <d v="2024-08-04T00:00:00"/>
    <s v="CUST041"/>
    <x v="10"/>
    <s v="P002"/>
    <s v="Smartphone"/>
    <x v="0"/>
    <n v="4"/>
    <n v="699.99"/>
    <x v="2"/>
    <x v="1"/>
    <x v="0"/>
    <d v="2021-12-10T00:00:00"/>
    <n v="2799.96"/>
    <x v="4"/>
    <n v="2024"/>
    <n v="1618"/>
    <s v="VIP Customer"/>
  </r>
  <r>
    <s v="TRX0177"/>
    <d v="2024-08-05T00:00:00"/>
    <s v="CUST032"/>
    <x v="42"/>
    <s v="P001"/>
    <s v="Laptop"/>
    <x v="0"/>
    <n v="3"/>
    <n v="899.99"/>
    <x v="1"/>
    <x v="2"/>
    <x v="2"/>
    <d v="2021-12-11T00:00:00"/>
    <n v="2699.97"/>
    <x v="4"/>
    <n v="2024"/>
    <n v="1617"/>
    <s v="VIP Customer"/>
  </r>
  <r>
    <s v="TRX0119"/>
    <d v="2024-08-06T00:00:00"/>
    <s v="CUST014"/>
    <x v="21"/>
    <s v="P008"/>
    <s v="Bookshelf"/>
    <x v="2"/>
    <n v="3"/>
    <n v="149.99"/>
    <x v="2"/>
    <x v="4"/>
    <x v="0"/>
    <d v="2021-12-12T00:00:00"/>
    <n v="449.97"/>
    <x v="4"/>
    <n v="2024"/>
    <n v="1616"/>
    <s v="Low Value"/>
  </r>
  <r>
    <s v="TRX0181"/>
    <d v="2024-08-07T00:00:00"/>
    <s v="CUST012"/>
    <x v="18"/>
    <s v="P007"/>
    <s v="Desk"/>
    <x v="2"/>
    <n v="2"/>
    <n v="299.99"/>
    <x v="3"/>
    <x v="0"/>
    <x v="0"/>
    <d v="2021-12-13T00:00:00"/>
    <n v="599.98"/>
    <x v="4"/>
    <n v="2024"/>
    <n v="1615"/>
    <s v="Medium Value"/>
  </r>
  <r>
    <s v="TRX0129"/>
    <d v="2024-08-08T00:00:00"/>
    <s v="CUST015"/>
    <x v="45"/>
    <s v="P006"/>
    <s v="Office Chair"/>
    <x v="2"/>
    <n v="1"/>
    <n v="199.99"/>
    <x v="3"/>
    <x v="4"/>
    <x v="2"/>
    <d v="2021-12-14T00:00:00"/>
    <n v="199.99"/>
    <x v="4"/>
    <n v="2024"/>
    <n v="1614"/>
    <s v="Low Value"/>
  </r>
  <r>
    <s v="TRX0174"/>
    <d v="2024-08-09T00:00:00"/>
    <s v="CUST003"/>
    <x v="4"/>
    <s v="P007"/>
    <s v="Desk"/>
    <x v="2"/>
    <n v="4"/>
    <n v="299.99"/>
    <x v="0"/>
    <x v="0"/>
    <x v="1"/>
    <d v="2021-12-15T00:00:00"/>
    <n v="1199.96"/>
    <x v="4"/>
    <n v="2024"/>
    <n v="1613"/>
    <s v="High Value"/>
  </r>
  <r>
    <s v="TRX0146"/>
    <d v="2024-08-10T00:00:00"/>
    <s v="CUST010"/>
    <x v="15"/>
    <s v="P005"/>
    <s v="Blender"/>
    <x v="1"/>
    <n v="2"/>
    <n v="59.99"/>
    <x v="1"/>
    <x v="0"/>
    <x v="0"/>
    <d v="2021-12-16T00:00:00"/>
    <n v="119.98"/>
    <x v="4"/>
    <n v="2024"/>
    <n v="1612"/>
    <s v="Low Value"/>
  </r>
  <r>
    <s v="TRX0203"/>
    <d v="2024-08-11T00:00:00"/>
    <s v="CUST032"/>
    <x v="42"/>
    <s v="P003"/>
    <s v="Headphones"/>
    <x v="0"/>
    <n v="4"/>
    <n v="149.99"/>
    <x v="1"/>
    <x v="2"/>
    <x v="1"/>
    <d v="2021-12-17T00:00:00"/>
    <n v="599.96"/>
    <x v="4"/>
    <n v="2024"/>
    <n v="1611"/>
    <s v="Medium Value"/>
  </r>
  <r>
    <s v="TRX0055"/>
    <d v="2024-08-12T00:00:00"/>
    <s v="CUST016"/>
    <x v="39"/>
    <s v="P002"/>
    <s v="Smartphone"/>
    <x v="0"/>
    <n v="2"/>
    <n v="699.99"/>
    <x v="3"/>
    <x v="4"/>
    <x v="1"/>
    <d v="2021-12-18T00:00:00"/>
    <n v="1399.98"/>
    <x v="4"/>
    <n v="2024"/>
    <n v="1610"/>
    <s v="High Value"/>
  </r>
  <r>
    <s v="TRX0218"/>
    <d v="2024-08-13T00:00:00"/>
    <s v="CUST034"/>
    <x v="41"/>
    <s v="P008"/>
    <s v="Bookshelf"/>
    <x v="2"/>
    <n v="3"/>
    <n v="149.99"/>
    <x v="1"/>
    <x v="1"/>
    <x v="2"/>
    <d v="2021-12-19T00:00:00"/>
    <n v="449.97"/>
    <x v="4"/>
    <n v="2024"/>
    <n v="1609"/>
    <s v="Low Value"/>
  </r>
  <r>
    <s v="TRX0085"/>
    <d v="2024-08-14T00:00:00"/>
    <s v="CUST019"/>
    <x v="29"/>
    <s v="P007"/>
    <s v="Desk"/>
    <x v="2"/>
    <n v="3"/>
    <n v="299.99"/>
    <x v="1"/>
    <x v="0"/>
    <x v="2"/>
    <d v="2021-12-20T00:00:00"/>
    <n v="899.97"/>
    <x v="4"/>
    <n v="2024"/>
    <n v="1608"/>
    <s v="Medium Value"/>
  </r>
  <r>
    <s v="TRX0158"/>
    <d v="2024-08-15T00:00:00"/>
    <s v="CUST027"/>
    <x v="13"/>
    <s v="P001"/>
    <s v="Laptop"/>
    <x v="0"/>
    <n v="3"/>
    <n v="899.99"/>
    <x v="2"/>
    <x v="3"/>
    <x v="0"/>
    <d v="2021-12-21T00:00:00"/>
    <n v="2699.97"/>
    <x v="4"/>
    <n v="2024"/>
    <n v="1607"/>
    <s v="VIP Customer"/>
  </r>
  <r>
    <s v="TRX0173"/>
    <d v="2024-08-16T00:00:00"/>
    <s v="CUST018"/>
    <x v="17"/>
    <s v="P002"/>
    <s v="Smartphone"/>
    <x v="0"/>
    <n v="5"/>
    <n v="699.99"/>
    <x v="0"/>
    <x v="4"/>
    <x v="2"/>
    <d v="2021-12-22T00:00:00"/>
    <n v="3499.95"/>
    <x v="4"/>
    <n v="2024"/>
    <n v="1606"/>
    <s v="VIP Customer"/>
  </r>
  <r>
    <s v="TRX0034"/>
    <d v="2024-08-17T00:00:00"/>
    <s v="CUST049"/>
    <x v="34"/>
    <s v="P002"/>
    <s v="Smartphone"/>
    <x v="0"/>
    <n v="4"/>
    <n v="699.99"/>
    <x v="1"/>
    <x v="0"/>
    <x v="0"/>
    <d v="2021-12-23T00:00:00"/>
    <n v="2799.96"/>
    <x v="4"/>
    <n v="2024"/>
    <n v="1605"/>
    <s v="VIP Customer"/>
  </r>
  <r>
    <s v="TRX0189"/>
    <d v="2024-08-18T00:00:00"/>
    <s v="CUST040"/>
    <x v="30"/>
    <s v="P001"/>
    <s v="Laptop"/>
    <x v="0"/>
    <n v="1"/>
    <n v="899.99"/>
    <x v="1"/>
    <x v="4"/>
    <x v="2"/>
    <d v="2021-12-24T00:00:00"/>
    <n v="899.99"/>
    <x v="4"/>
    <n v="2024"/>
    <n v="1604"/>
    <s v="Medium Value"/>
  </r>
  <r>
    <s v="TRX0190"/>
    <d v="2024-08-19T00:00:00"/>
    <s v="CUST039"/>
    <x v="40"/>
    <s v="P003"/>
    <s v="Headphones"/>
    <x v="0"/>
    <n v="2"/>
    <n v="149.99"/>
    <x v="1"/>
    <x v="3"/>
    <x v="0"/>
    <d v="2021-12-25T00:00:00"/>
    <n v="299.98"/>
    <x v="4"/>
    <n v="2024"/>
    <n v="1603"/>
    <s v="Low Value"/>
  </r>
  <r>
    <s v="TRX0079"/>
    <d v="2024-08-20T00:00:00"/>
    <s v="CUST039"/>
    <x v="40"/>
    <s v="P010"/>
    <s v="Keyboard"/>
    <x v="0"/>
    <n v="3"/>
    <n v="89.99"/>
    <x v="2"/>
    <x v="0"/>
    <x v="0"/>
    <d v="2021-12-26T00:00:00"/>
    <n v="269.97000000000003"/>
    <x v="4"/>
    <n v="2024"/>
    <n v="1602"/>
    <s v="Low Value"/>
  </r>
  <r>
    <s v="TRX0095"/>
    <d v="2024-08-21T00:00:00"/>
    <s v="CUST046"/>
    <x v="3"/>
    <s v="P003"/>
    <s v="Headphones"/>
    <x v="0"/>
    <n v="2"/>
    <n v="149.99"/>
    <x v="2"/>
    <x v="0"/>
    <x v="0"/>
    <d v="2021-12-27T00:00:00"/>
    <n v="299.98"/>
    <x v="4"/>
    <n v="2024"/>
    <n v="1601"/>
    <s v="Low Value"/>
  </r>
  <r>
    <s v="TRX0009"/>
    <d v="2024-08-22T00:00:00"/>
    <s v="CUST004"/>
    <x v="31"/>
    <s v="P002"/>
    <s v="Smartphone"/>
    <x v="0"/>
    <n v="2"/>
    <n v="699.99"/>
    <x v="0"/>
    <x v="0"/>
    <x v="0"/>
    <d v="2021-12-28T00:00:00"/>
    <n v="1399.98"/>
    <x v="4"/>
    <n v="2024"/>
    <n v="1600"/>
    <s v="High Value"/>
  </r>
  <r>
    <s v="TRX0167"/>
    <d v="2024-08-23T00:00:00"/>
    <s v="CUST028"/>
    <x v="32"/>
    <s v="P002"/>
    <s v="Smartphone"/>
    <x v="0"/>
    <n v="5"/>
    <n v="699.99"/>
    <x v="0"/>
    <x v="2"/>
    <x v="1"/>
    <d v="2021-12-29T00:00:00"/>
    <n v="3499.95"/>
    <x v="4"/>
    <n v="2024"/>
    <n v="1599"/>
    <s v="VIP Customer"/>
  </r>
  <r>
    <s v="TRX0153"/>
    <d v="2024-08-24T00:00:00"/>
    <s v="CUST049"/>
    <x v="34"/>
    <s v="P010"/>
    <s v="Keyboard"/>
    <x v="0"/>
    <n v="3"/>
    <n v="89.99"/>
    <x v="1"/>
    <x v="2"/>
    <x v="2"/>
    <d v="2021-12-30T00:00:00"/>
    <n v="269.97000000000003"/>
    <x v="4"/>
    <n v="2024"/>
    <n v="1598"/>
    <s v="Low Value"/>
  </r>
  <r>
    <s v="TRX0057"/>
    <d v="2024-08-25T00:00:00"/>
    <s v="CUST023"/>
    <x v="0"/>
    <s v="P009"/>
    <s v="Monitor"/>
    <x v="0"/>
    <n v="5"/>
    <n v="249.99"/>
    <x v="1"/>
    <x v="1"/>
    <x v="2"/>
    <d v="2021-12-31T00:00:00"/>
    <n v="1249.95"/>
    <x v="4"/>
    <n v="2024"/>
    <n v="1597"/>
    <s v="High Value"/>
  </r>
  <r>
    <s v="TRX0017"/>
    <d v="2024-08-26T00:00:00"/>
    <s v="CUST026"/>
    <x v="8"/>
    <s v="P007"/>
    <s v="Desk"/>
    <x v="2"/>
    <n v="3"/>
    <n v="299.99"/>
    <x v="1"/>
    <x v="1"/>
    <x v="2"/>
    <d v="2022-01-01T00:00:00"/>
    <n v="899.97"/>
    <x v="4"/>
    <n v="2024"/>
    <n v="1596"/>
    <s v="Medium Value"/>
  </r>
  <r>
    <s v="TRX0060"/>
    <d v="2024-08-27T00:00:00"/>
    <s v="CUST012"/>
    <x v="18"/>
    <s v="P010"/>
    <s v="Keyboard"/>
    <x v="0"/>
    <n v="3"/>
    <n v="89.99"/>
    <x v="1"/>
    <x v="2"/>
    <x v="1"/>
    <d v="2022-01-02T00:00:00"/>
    <n v="269.97000000000003"/>
    <x v="4"/>
    <n v="2024"/>
    <n v="1595"/>
    <s v="Low Value"/>
  </r>
  <r>
    <s v="TRX0109"/>
    <d v="2024-08-28T00:00:00"/>
    <s v="CUST010"/>
    <x v="15"/>
    <s v="P008"/>
    <s v="Bookshelf"/>
    <x v="2"/>
    <n v="2"/>
    <n v="149.99"/>
    <x v="1"/>
    <x v="3"/>
    <x v="1"/>
    <d v="2022-01-03T00:00:00"/>
    <n v="299.98"/>
    <x v="4"/>
    <n v="2024"/>
    <n v="1594"/>
    <s v="Low Value"/>
  </r>
  <r>
    <s v="TRX0090"/>
    <d v="2024-08-29T00:00:00"/>
    <s v="CUST020"/>
    <x v="36"/>
    <s v="P009"/>
    <s v="Monitor"/>
    <x v="0"/>
    <n v="1"/>
    <n v="249.99"/>
    <x v="1"/>
    <x v="2"/>
    <x v="1"/>
    <d v="2022-01-04T00:00:00"/>
    <n v="249.99"/>
    <x v="4"/>
    <n v="2024"/>
    <n v="1593"/>
    <s v="Low Value"/>
  </r>
  <r>
    <s v="TRX0035"/>
    <d v="2024-08-30T00:00:00"/>
    <s v="CUST041"/>
    <x v="10"/>
    <s v="P003"/>
    <s v="Headphones"/>
    <x v="0"/>
    <n v="3"/>
    <n v="149.99"/>
    <x v="0"/>
    <x v="2"/>
    <x v="0"/>
    <d v="2022-01-05T00:00:00"/>
    <n v="449.97"/>
    <x v="4"/>
    <n v="2024"/>
    <n v="1592"/>
    <s v="Low Value"/>
  </r>
  <r>
    <s v="TRX0172"/>
    <d v="2024-08-31T00:00:00"/>
    <s v="CUST023"/>
    <x v="0"/>
    <s v="P005"/>
    <s v="Blender"/>
    <x v="1"/>
    <n v="5"/>
    <n v="59.99"/>
    <x v="2"/>
    <x v="3"/>
    <x v="1"/>
    <d v="2022-01-06T00:00:00"/>
    <n v="299.95"/>
    <x v="4"/>
    <n v="2024"/>
    <n v="1591"/>
    <s v="Low Value"/>
  </r>
  <r>
    <s v="TRX0076"/>
    <d v="2024-09-01T00:00:00"/>
    <s v="CUST012"/>
    <x v="18"/>
    <s v="P009"/>
    <s v="Monitor"/>
    <x v="0"/>
    <n v="4"/>
    <n v="249.99"/>
    <x v="1"/>
    <x v="3"/>
    <x v="2"/>
    <d v="2022-01-07T00:00:00"/>
    <n v="999.96"/>
    <x v="5"/>
    <n v="2024"/>
    <n v="1590"/>
    <s v="Medium Value"/>
  </r>
  <r>
    <s v="TRX0210"/>
    <d v="2024-09-02T00:00:00"/>
    <s v="CUST004"/>
    <x v="31"/>
    <s v="P008"/>
    <s v="Bookshelf"/>
    <x v="2"/>
    <n v="5"/>
    <n v="149.99"/>
    <x v="2"/>
    <x v="0"/>
    <x v="0"/>
    <d v="2022-01-08T00:00:00"/>
    <n v="749.95"/>
    <x v="5"/>
    <n v="2024"/>
    <n v="1589"/>
    <s v="Medium Value"/>
  </r>
  <r>
    <s v="TRX0149"/>
    <d v="2024-09-03T00:00:00"/>
    <s v="CUST027"/>
    <x v="13"/>
    <s v="P005"/>
    <s v="Blender"/>
    <x v="1"/>
    <n v="3"/>
    <n v="59.99"/>
    <x v="3"/>
    <x v="1"/>
    <x v="2"/>
    <d v="2022-01-09T00:00:00"/>
    <n v="179.97"/>
    <x v="5"/>
    <n v="2024"/>
    <n v="1588"/>
    <s v="Low Value"/>
  </r>
  <r>
    <s v="TRX0073"/>
    <d v="2024-09-04T00:00:00"/>
    <s v="CUST032"/>
    <x v="42"/>
    <s v="P008"/>
    <s v="Bookshelf"/>
    <x v="2"/>
    <n v="5"/>
    <n v="149.99"/>
    <x v="0"/>
    <x v="2"/>
    <x v="0"/>
    <d v="2022-01-10T00:00:00"/>
    <n v="749.95"/>
    <x v="5"/>
    <n v="2024"/>
    <n v="1587"/>
    <s v="Medium Value"/>
  </r>
  <r>
    <s v="TRX0033"/>
    <d v="2024-09-05T00:00:00"/>
    <s v="CUST025"/>
    <x v="14"/>
    <s v="P002"/>
    <s v="Smartphone"/>
    <x v="0"/>
    <n v="2"/>
    <n v="699.99"/>
    <x v="2"/>
    <x v="3"/>
    <x v="2"/>
    <d v="2022-01-11T00:00:00"/>
    <n v="1399.98"/>
    <x v="5"/>
    <n v="2024"/>
    <n v="1586"/>
    <s v="High Value"/>
  </r>
  <r>
    <s v="TRX0160"/>
    <d v="2024-09-06T00:00:00"/>
    <s v="CUST029"/>
    <x v="23"/>
    <s v="P006"/>
    <s v="Office Chair"/>
    <x v="2"/>
    <n v="4"/>
    <n v="199.99"/>
    <x v="3"/>
    <x v="0"/>
    <x v="1"/>
    <d v="2022-01-12T00:00:00"/>
    <n v="799.96"/>
    <x v="5"/>
    <n v="2024"/>
    <n v="1585"/>
    <s v="Medium Value"/>
  </r>
  <r>
    <s v="TRX0145"/>
    <d v="2024-09-07T00:00:00"/>
    <s v="CUST033"/>
    <x v="37"/>
    <s v="P005"/>
    <s v="Blender"/>
    <x v="1"/>
    <n v="1"/>
    <n v="59.99"/>
    <x v="3"/>
    <x v="3"/>
    <x v="2"/>
    <d v="2022-01-13T00:00:00"/>
    <n v="59.99"/>
    <x v="5"/>
    <n v="2024"/>
    <n v="1584"/>
    <s v="Low Value"/>
  </r>
  <r>
    <s v="TRX0148"/>
    <d v="2024-09-08T00:00:00"/>
    <s v="CUST004"/>
    <x v="31"/>
    <s v="P002"/>
    <s v="Smartphone"/>
    <x v="0"/>
    <n v="3"/>
    <n v="699.99"/>
    <x v="2"/>
    <x v="3"/>
    <x v="2"/>
    <d v="2022-01-14T00:00:00"/>
    <n v="2099.9699999999998"/>
    <x v="5"/>
    <n v="2024"/>
    <n v="1583"/>
    <s v="VIP Customer"/>
  </r>
  <r>
    <s v="TRX0012"/>
    <d v="2024-09-09T00:00:00"/>
    <s v="CUST045"/>
    <x v="46"/>
    <s v="P009"/>
    <s v="Monitor"/>
    <x v="0"/>
    <n v="5"/>
    <n v="249.99"/>
    <x v="1"/>
    <x v="2"/>
    <x v="0"/>
    <d v="2022-01-15T00:00:00"/>
    <n v="1249.95"/>
    <x v="5"/>
    <n v="2024"/>
    <n v="1582"/>
    <s v="High Value"/>
  </r>
  <r>
    <s v="TRX0206"/>
    <d v="2024-09-10T00:00:00"/>
    <s v="CUST014"/>
    <x v="21"/>
    <s v="P008"/>
    <s v="Bookshelf"/>
    <x v="2"/>
    <n v="2"/>
    <n v="149.99"/>
    <x v="0"/>
    <x v="1"/>
    <x v="2"/>
    <d v="2022-01-16T00:00:00"/>
    <n v="299.98"/>
    <x v="5"/>
    <n v="2024"/>
    <n v="1581"/>
    <s v="Low Value"/>
  </r>
  <r>
    <s v="TRX0045"/>
    <d v="2024-09-11T00:00:00"/>
    <s v="CUST021"/>
    <x v="2"/>
    <s v="P007"/>
    <s v="Desk"/>
    <x v="2"/>
    <n v="3"/>
    <n v="299.99"/>
    <x v="0"/>
    <x v="1"/>
    <x v="1"/>
    <d v="2022-01-17T00:00:00"/>
    <n v="899.97"/>
    <x v="5"/>
    <n v="2024"/>
    <n v="1580"/>
    <s v="Medium Value"/>
  </r>
  <r>
    <s v="TRX0094"/>
    <d v="2024-09-12T00:00:00"/>
    <s v="CUST017"/>
    <x v="6"/>
    <s v="P009"/>
    <s v="Monitor"/>
    <x v="0"/>
    <n v="5"/>
    <n v="249.99"/>
    <x v="0"/>
    <x v="0"/>
    <x v="1"/>
    <d v="2022-01-18T00:00:00"/>
    <n v="1249.95"/>
    <x v="5"/>
    <n v="2024"/>
    <n v="1579"/>
    <s v="High Value"/>
  </r>
  <r>
    <s v="TRX0133"/>
    <d v="2024-09-13T00:00:00"/>
    <s v="CUST013"/>
    <x v="1"/>
    <s v="P003"/>
    <s v="Headphones"/>
    <x v="0"/>
    <n v="2"/>
    <n v="149.99"/>
    <x v="0"/>
    <x v="1"/>
    <x v="1"/>
    <d v="2022-01-19T00:00:00"/>
    <n v="299.98"/>
    <x v="5"/>
    <n v="2024"/>
    <n v="1578"/>
    <s v="Low Value"/>
  </r>
  <r>
    <s v="TRX0201"/>
    <d v="2024-09-14T00:00:00"/>
    <s v="CUST025"/>
    <x v="14"/>
    <s v="P002"/>
    <s v="Smartphone"/>
    <x v="0"/>
    <n v="5"/>
    <n v="699.99"/>
    <x v="3"/>
    <x v="3"/>
    <x v="2"/>
    <d v="2022-01-20T00:00:00"/>
    <n v="3499.95"/>
    <x v="5"/>
    <n v="2024"/>
    <n v="1577"/>
    <s v="VIP Customer"/>
  </r>
  <r>
    <s v="TRX0137"/>
    <d v="2024-09-15T00:00:00"/>
    <s v="CUST011"/>
    <x v="44"/>
    <s v="P009"/>
    <s v="Monitor"/>
    <x v="0"/>
    <n v="4"/>
    <n v="249.99"/>
    <x v="2"/>
    <x v="4"/>
    <x v="1"/>
    <d v="2022-01-21T00:00:00"/>
    <n v="999.96"/>
    <x v="5"/>
    <n v="2024"/>
    <n v="1576"/>
    <s v="Medium Value"/>
  </r>
  <r>
    <s v="TRX0066"/>
    <d v="2024-09-16T00:00:00"/>
    <s v="CUST024"/>
    <x v="5"/>
    <s v="P002"/>
    <s v="Smartphone"/>
    <x v="0"/>
    <n v="4"/>
    <n v="699.99"/>
    <x v="1"/>
    <x v="2"/>
    <x v="1"/>
    <d v="2022-01-22T00:00:00"/>
    <n v="2799.96"/>
    <x v="5"/>
    <n v="2024"/>
    <n v="1575"/>
    <s v="VIP Customer"/>
  </r>
  <r>
    <s v="TRX0180"/>
    <d v="2024-09-17T00:00:00"/>
    <s v="CUST036"/>
    <x v="20"/>
    <s v="P009"/>
    <s v="Monitor"/>
    <x v="0"/>
    <n v="2"/>
    <n v="249.99"/>
    <x v="1"/>
    <x v="0"/>
    <x v="1"/>
    <d v="2022-01-23T00:00:00"/>
    <n v="499.98"/>
    <x v="5"/>
    <n v="2024"/>
    <n v="1574"/>
    <s v="Low Value"/>
  </r>
  <r>
    <s v="TRX0082"/>
    <d v="2024-09-18T00:00:00"/>
    <s v="CUST005"/>
    <x v="47"/>
    <s v="P005"/>
    <s v="Blender"/>
    <x v="1"/>
    <n v="3"/>
    <n v="59.99"/>
    <x v="0"/>
    <x v="0"/>
    <x v="1"/>
    <d v="2022-01-24T00:00:00"/>
    <n v="179.97"/>
    <x v="5"/>
    <n v="2024"/>
    <n v="1573"/>
    <s v="Low Value"/>
  </r>
  <r>
    <s v="TRX0036"/>
    <d v="2024-09-19T00:00:00"/>
    <s v="CUST008"/>
    <x v="27"/>
    <s v="P004"/>
    <s v="Coffee Maker"/>
    <x v="1"/>
    <n v="4"/>
    <n v="79.989999999999995"/>
    <x v="3"/>
    <x v="4"/>
    <x v="2"/>
    <d v="2022-01-25T00:00:00"/>
    <n v="319.95999999999998"/>
    <x v="5"/>
    <n v="2024"/>
    <n v="1572"/>
    <s v="Low Value"/>
  </r>
  <r>
    <s v="TRX0198"/>
    <d v="2024-09-20T00:00:00"/>
    <s v="CUST030"/>
    <x v="22"/>
    <s v="P004"/>
    <s v="Coffee Maker"/>
    <x v="1"/>
    <n v="3"/>
    <n v="79.989999999999995"/>
    <x v="3"/>
    <x v="4"/>
    <x v="2"/>
    <d v="2022-01-26T00:00:00"/>
    <n v="239.97"/>
    <x v="5"/>
    <n v="2024"/>
    <n v="1571"/>
    <s v="Low Value"/>
  </r>
  <r>
    <s v="TRX0032"/>
    <d v="2024-09-21T00:00:00"/>
    <s v="CUST041"/>
    <x v="10"/>
    <s v="P001"/>
    <s v="Laptop"/>
    <x v="0"/>
    <n v="2"/>
    <n v="899.99"/>
    <x v="0"/>
    <x v="2"/>
    <x v="0"/>
    <d v="2022-01-27T00:00:00"/>
    <n v="1799.98"/>
    <x v="5"/>
    <n v="2024"/>
    <n v="1570"/>
    <s v="High Value"/>
  </r>
  <r>
    <s v="TRX0081"/>
    <d v="2024-09-22T00:00:00"/>
    <s v="CUST007"/>
    <x v="35"/>
    <s v="P008"/>
    <s v="Bookshelf"/>
    <x v="2"/>
    <n v="1"/>
    <n v="149.99"/>
    <x v="3"/>
    <x v="4"/>
    <x v="2"/>
    <d v="2022-01-28T00:00:00"/>
    <n v="149.99"/>
    <x v="5"/>
    <n v="2024"/>
    <n v="1569"/>
    <s v="Low Value"/>
  </r>
  <r>
    <s v="TRX0224"/>
    <d v="2024-09-23T00:00:00"/>
    <s v="CUST031"/>
    <x v="26"/>
    <s v="P007"/>
    <s v="Desk"/>
    <x v="2"/>
    <n v="2"/>
    <n v="299.99"/>
    <x v="0"/>
    <x v="4"/>
    <x v="1"/>
    <d v="2022-01-29T00:00:00"/>
    <n v="599.98"/>
    <x v="5"/>
    <n v="2024"/>
    <n v="1568"/>
    <s v="Medium Value"/>
  </r>
  <r>
    <s v="TRX0028"/>
    <d v="2024-09-24T00:00:00"/>
    <s v="CUST002"/>
    <x v="25"/>
    <s v="P005"/>
    <s v="Blender"/>
    <x v="1"/>
    <n v="2"/>
    <n v="59.99"/>
    <x v="0"/>
    <x v="3"/>
    <x v="0"/>
    <d v="2022-01-30T00:00:00"/>
    <n v="119.98"/>
    <x v="5"/>
    <n v="2024"/>
    <n v="1567"/>
    <s v="Low Value"/>
  </r>
  <r>
    <s v="TRX0183"/>
    <d v="2024-09-25T00:00:00"/>
    <s v="CUST007"/>
    <x v="35"/>
    <s v="P010"/>
    <s v="Keyboard"/>
    <x v="0"/>
    <n v="1"/>
    <n v="89.99"/>
    <x v="3"/>
    <x v="0"/>
    <x v="2"/>
    <d v="2022-01-31T00:00:00"/>
    <n v="89.99"/>
    <x v="5"/>
    <n v="2024"/>
    <n v="1566"/>
    <s v="Low Value"/>
  </r>
  <r>
    <s v="TRX0163"/>
    <d v="2024-09-26T00:00:00"/>
    <s v="CUST019"/>
    <x v="29"/>
    <s v="P001"/>
    <s v="Laptop"/>
    <x v="0"/>
    <n v="5"/>
    <n v="899.99"/>
    <x v="3"/>
    <x v="4"/>
    <x v="2"/>
    <d v="2022-02-01T00:00:00"/>
    <n v="4499.95"/>
    <x v="5"/>
    <n v="2024"/>
    <n v="1565"/>
    <s v="VIP Customer"/>
  </r>
  <r>
    <s v="TRX0046"/>
    <d v="2024-09-27T00:00:00"/>
    <s v="CUST003"/>
    <x v="4"/>
    <s v="P008"/>
    <s v="Bookshelf"/>
    <x v="2"/>
    <n v="2"/>
    <n v="149.99"/>
    <x v="0"/>
    <x v="1"/>
    <x v="0"/>
    <d v="2022-02-02T00:00:00"/>
    <n v="299.98"/>
    <x v="5"/>
    <n v="2024"/>
    <n v="1564"/>
    <s v="Low Value"/>
  </r>
  <r>
    <s v="TRX0164"/>
    <d v="2024-09-28T00:00:00"/>
    <s v="CUST014"/>
    <x v="21"/>
    <s v="P003"/>
    <s v="Headphones"/>
    <x v="0"/>
    <n v="2"/>
    <n v="149.99"/>
    <x v="3"/>
    <x v="3"/>
    <x v="1"/>
    <d v="2022-02-03T00:00:00"/>
    <n v="299.98"/>
    <x v="5"/>
    <n v="2024"/>
    <n v="1563"/>
    <s v="Low Value"/>
  </r>
  <r>
    <s v="TRX0008"/>
    <d v="2024-09-29T00:00:00"/>
    <s v="CUST007"/>
    <x v="35"/>
    <s v="P008"/>
    <s v="Bookshelf"/>
    <x v="2"/>
    <n v="3"/>
    <n v="149.99"/>
    <x v="3"/>
    <x v="2"/>
    <x v="2"/>
    <d v="2022-02-04T00:00:00"/>
    <n v="449.97"/>
    <x v="5"/>
    <n v="2024"/>
    <n v="1562"/>
    <s v="Low Value"/>
  </r>
  <r>
    <s v="TRX0171"/>
    <d v="2024-09-30T00:00:00"/>
    <s v="CUST021"/>
    <x v="2"/>
    <s v="P007"/>
    <s v="Desk"/>
    <x v="2"/>
    <n v="2"/>
    <n v="299.99"/>
    <x v="2"/>
    <x v="1"/>
    <x v="0"/>
    <d v="2022-02-05T00:00:00"/>
    <n v="599.98"/>
    <x v="5"/>
    <n v="2024"/>
    <n v="1561"/>
    <s v="Medium Value"/>
  </r>
  <r>
    <s v="TRX0143"/>
    <d v="2024-10-01T00:00:00"/>
    <s v="CUST003"/>
    <x v="4"/>
    <s v="P007"/>
    <s v="Desk"/>
    <x v="2"/>
    <n v="2"/>
    <n v="299.99"/>
    <x v="0"/>
    <x v="3"/>
    <x v="0"/>
    <d v="2022-02-06T00:00:00"/>
    <n v="599.98"/>
    <x v="6"/>
    <n v="2024"/>
    <n v="1560"/>
    <s v="Medium Value"/>
  </r>
  <r>
    <s v="TRX0165"/>
    <d v="2024-10-02T00:00:00"/>
    <s v="CUST030"/>
    <x v="22"/>
    <s v="P006"/>
    <s v="Office Chair"/>
    <x v="2"/>
    <n v="4"/>
    <n v="199.99"/>
    <x v="1"/>
    <x v="0"/>
    <x v="0"/>
    <d v="2022-02-07T00:00:00"/>
    <n v="799.96"/>
    <x v="6"/>
    <n v="2024"/>
    <n v="1559"/>
    <s v="Medium Value"/>
  </r>
  <r>
    <s v="TRX0156"/>
    <d v="2024-10-03T00:00:00"/>
    <s v="CUST009"/>
    <x v="7"/>
    <s v="P010"/>
    <s v="Keyboard"/>
    <x v="0"/>
    <n v="1"/>
    <n v="89.99"/>
    <x v="1"/>
    <x v="1"/>
    <x v="1"/>
    <d v="2022-02-08T00:00:00"/>
    <n v="89.99"/>
    <x v="6"/>
    <n v="2024"/>
    <n v="1558"/>
    <s v="Low Value"/>
  </r>
  <r>
    <s v="TRX0147"/>
    <d v="2024-10-04T00:00:00"/>
    <s v="CUST036"/>
    <x v="20"/>
    <s v="P008"/>
    <s v="Bookshelf"/>
    <x v="2"/>
    <n v="5"/>
    <n v="149.99"/>
    <x v="0"/>
    <x v="0"/>
    <x v="1"/>
    <d v="2022-02-09T00:00:00"/>
    <n v="749.95"/>
    <x v="6"/>
    <n v="2024"/>
    <n v="1557"/>
    <s v="Medium Value"/>
  </r>
  <r>
    <s v="TRX0207"/>
    <d v="2024-10-05T00:00:00"/>
    <s v="CUST025"/>
    <x v="14"/>
    <s v="P001"/>
    <s v="Laptop"/>
    <x v="0"/>
    <n v="1"/>
    <n v="899.99"/>
    <x v="2"/>
    <x v="2"/>
    <x v="1"/>
    <d v="2022-02-10T00:00:00"/>
    <n v="899.99"/>
    <x v="6"/>
    <n v="2024"/>
    <n v="1556"/>
    <s v="Medium Value"/>
  </r>
  <r>
    <s v="TRX0056"/>
    <d v="2024-10-06T00:00:00"/>
    <s v="CUST019"/>
    <x v="29"/>
    <s v="P010"/>
    <s v="Keyboard"/>
    <x v="0"/>
    <n v="2"/>
    <n v="89.99"/>
    <x v="1"/>
    <x v="1"/>
    <x v="1"/>
    <d v="2022-02-11T00:00:00"/>
    <n v="179.98"/>
    <x v="6"/>
    <n v="2024"/>
    <n v="1555"/>
    <s v="Low Value"/>
  </r>
  <r>
    <s v="TRX0026"/>
    <d v="2024-10-07T00:00:00"/>
    <s v="CUST037"/>
    <x v="48"/>
    <s v="P001"/>
    <s v="Laptop"/>
    <x v="0"/>
    <n v="1"/>
    <n v="899.99"/>
    <x v="2"/>
    <x v="2"/>
    <x v="2"/>
    <d v="2022-02-12T00:00:00"/>
    <n v="899.99"/>
    <x v="6"/>
    <n v="2024"/>
    <n v="1554"/>
    <s v="Medium Value"/>
  </r>
  <r>
    <s v="TRX0237"/>
    <d v="2024-10-08T00:00:00"/>
    <s v="CUST006"/>
    <x v="24"/>
    <s v="P003"/>
    <s v="Headphones"/>
    <x v="0"/>
    <n v="5"/>
    <n v="149.99"/>
    <x v="2"/>
    <x v="4"/>
    <x v="1"/>
    <d v="2022-02-13T00:00:00"/>
    <n v="749.95"/>
    <x v="6"/>
    <n v="2024"/>
    <n v="1553"/>
    <s v="Medium Value"/>
  </r>
  <r>
    <s v="TRX0091"/>
    <d v="2024-10-09T00:00:00"/>
    <s v="CUST003"/>
    <x v="4"/>
    <s v="P007"/>
    <s v="Desk"/>
    <x v="2"/>
    <n v="3"/>
    <n v="299.99"/>
    <x v="0"/>
    <x v="1"/>
    <x v="2"/>
    <d v="2022-02-14T00:00:00"/>
    <n v="899.97"/>
    <x v="6"/>
    <n v="2024"/>
    <n v="1552"/>
    <s v="Medium Value"/>
  </r>
  <r>
    <s v="TRX0125"/>
    <d v="2024-10-10T00:00:00"/>
    <s v="CUST026"/>
    <x v="8"/>
    <s v="P002"/>
    <s v="Smartphone"/>
    <x v="0"/>
    <n v="3"/>
    <n v="699.99"/>
    <x v="1"/>
    <x v="0"/>
    <x v="1"/>
    <d v="2022-02-15T00:00:00"/>
    <n v="2099.9699999999998"/>
    <x v="6"/>
    <n v="2024"/>
    <n v="1551"/>
    <s v="VIP Customer"/>
  </r>
  <r>
    <s v="TRX0223"/>
    <d v="2024-10-11T00:00:00"/>
    <s v="CUST036"/>
    <x v="20"/>
    <s v="P006"/>
    <s v="Office Chair"/>
    <x v="2"/>
    <n v="5"/>
    <n v="199.99"/>
    <x v="2"/>
    <x v="0"/>
    <x v="2"/>
    <d v="2022-02-16T00:00:00"/>
    <n v="999.95"/>
    <x v="6"/>
    <n v="2024"/>
    <n v="1550"/>
    <s v="Medium Value"/>
  </r>
  <r>
    <s v="TRX0243"/>
    <d v="2024-10-12T00:00:00"/>
    <s v="CUST048"/>
    <x v="16"/>
    <s v="P009"/>
    <s v="Monitor"/>
    <x v="0"/>
    <n v="5"/>
    <n v="249.99"/>
    <x v="1"/>
    <x v="1"/>
    <x v="0"/>
    <d v="2022-02-17T00:00:00"/>
    <n v="1249.95"/>
    <x v="6"/>
    <n v="2024"/>
    <n v="1549"/>
    <s v="High Value"/>
  </r>
  <r>
    <s v="TRX0084"/>
    <d v="2024-10-13T00:00:00"/>
    <s v="CUST031"/>
    <x v="26"/>
    <s v="P003"/>
    <s v="Headphones"/>
    <x v="0"/>
    <n v="4"/>
    <n v="149.99"/>
    <x v="3"/>
    <x v="4"/>
    <x v="2"/>
    <d v="2022-02-18T00:00:00"/>
    <n v="599.96"/>
    <x v="6"/>
    <n v="2024"/>
    <n v="1548"/>
    <s v="Medium Value"/>
  </r>
  <r>
    <s v="TRX0238"/>
    <d v="2024-10-14T00:00:00"/>
    <s v="CUST038"/>
    <x v="12"/>
    <s v="P002"/>
    <s v="Smartphone"/>
    <x v="0"/>
    <n v="3"/>
    <n v="699.99"/>
    <x v="0"/>
    <x v="2"/>
    <x v="1"/>
    <d v="2022-02-19T00:00:00"/>
    <n v="2099.9699999999998"/>
    <x v="6"/>
    <n v="2024"/>
    <n v="1547"/>
    <s v="VIP Customer"/>
  </r>
  <r>
    <s v="TRX0102"/>
    <d v="2024-10-15T00:00:00"/>
    <s v="CUST045"/>
    <x v="46"/>
    <s v="P004"/>
    <s v="Coffee Maker"/>
    <x v="1"/>
    <n v="1"/>
    <n v="79.989999999999995"/>
    <x v="1"/>
    <x v="1"/>
    <x v="0"/>
    <d v="2022-02-20T00:00:00"/>
    <n v="79.989999999999995"/>
    <x v="6"/>
    <n v="2024"/>
    <n v="1546"/>
    <s v="Low Value"/>
  </r>
  <r>
    <s v="TRX0022"/>
    <d v="2024-10-16T00:00:00"/>
    <s v="CUST025"/>
    <x v="14"/>
    <s v="P007"/>
    <s v="Desk"/>
    <x v="2"/>
    <n v="1"/>
    <n v="299.99"/>
    <x v="1"/>
    <x v="2"/>
    <x v="0"/>
    <d v="2022-02-21T00:00:00"/>
    <n v="299.99"/>
    <x v="6"/>
    <n v="2024"/>
    <n v="1545"/>
    <s v="Low Value"/>
  </r>
  <r>
    <s v="TRX0087"/>
    <d v="2024-10-17T00:00:00"/>
    <s v="CUST028"/>
    <x v="32"/>
    <s v="P009"/>
    <s v="Monitor"/>
    <x v="0"/>
    <n v="4"/>
    <n v="249.99"/>
    <x v="1"/>
    <x v="2"/>
    <x v="1"/>
    <d v="2022-02-22T00:00:00"/>
    <n v="999.96"/>
    <x v="6"/>
    <n v="2024"/>
    <n v="1544"/>
    <s v="Medium Value"/>
  </r>
  <r>
    <s v="TRX0107"/>
    <d v="2024-10-18T00:00:00"/>
    <s v="CUST030"/>
    <x v="22"/>
    <s v="P003"/>
    <s v="Headphones"/>
    <x v="0"/>
    <n v="2"/>
    <n v="149.99"/>
    <x v="0"/>
    <x v="2"/>
    <x v="2"/>
    <d v="2022-02-23T00:00:00"/>
    <n v="299.98"/>
    <x v="6"/>
    <n v="2024"/>
    <n v="1543"/>
    <s v="Low Value"/>
  </r>
  <r>
    <s v="TRX0051"/>
    <d v="2024-10-19T00:00:00"/>
    <s v="CUST032"/>
    <x v="42"/>
    <s v="P007"/>
    <s v="Desk"/>
    <x v="2"/>
    <n v="3"/>
    <n v="299.99"/>
    <x v="1"/>
    <x v="1"/>
    <x v="0"/>
    <d v="2022-02-24T00:00:00"/>
    <n v="899.97"/>
    <x v="6"/>
    <n v="2024"/>
    <n v="1542"/>
    <s v="Medium Value"/>
  </r>
  <r>
    <s v="TRX0106"/>
    <d v="2024-10-20T00:00:00"/>
    <s v="CUST039"/>
    <x v="40"/>
    <s v="P006"/>
    <s v="Office Chair"/>
    <x v="2"/>
    <n v="4"/>
    <n v="199.99"/>
    <x v="3"/>
    <x v="1"/>
    <x v="2"/>
    <d v="2022-02-25T00:00:00"/>
    <n v="799.96"/>
    <x v="6"/>
    <n v="2024"/>
    <n v="1541"/>
    <s v="Medium Value"/>
  </r>
  <r>
    <s v="TRX0059"/>
    <d v="2024-10-21T00:00:00"/>
    <s v="CUST016"/>
    <x v="39"/>
    <s v="P007"/>
    <s v="Desk"/>
    <x v="2"/>
    <n v="5"/>
    <n v="299.99"/>
    <x v="3"/>
    <x v="0"/>
    <x v="0"/>
    <d v="2022-02-26T00:00:00"/>
    <n v="1499.95"/>
    <x v="6"/>
    <n v="2024"/>
    <n v="1540"/>
    <s v="High Value"/>
  </r>
  <r>
    <s v="TRX0072"/>
    <d v="2024-10-22T00:00:00"/>
    <s v="CUST009"/>
    <x v="7"/>
    <s v="P008"/>
    <s v="Bookshelf"/>
    <x v="2"/>
    <n v="3"/>
    <n v="149.99"/>
    <x v="1"/>
    <x v="4"/>
    <x v="2"/>
    <d v="2022-02-27T00:00:00"/>
    <n v="449.97"/>
    <x v="6"/>
    <n v="2024"/>
    <n v="1539"/>
    <s v="Low Value"/>
  </r>
  <r>
    <s v="TRX0110"/>
    <d v="2024-10-23T00:00:00"/>
    <s v="CUST006"/>
    <x v="24"/>
    <s v="P005"/>
    <s v="Blender"/>
    <x v="1"/>
    <n v="5"/>
    <n v="59.99"/>
    <x v="3"/>
    <x v="4"/>
    <x v="0"/>
    <d v="2022-02-28T00:00:00"/>
    <n v="299.95"/>
    <x v="6"/>
    <n v="2024"/>
    <n v="1538"/>
    <s v="Low Value"/>
  </r>
  <r>
    <s v="TRX0126"/>
    <d v="2024-10-24T00:00:00"/>
    <s v="CUST022"/>
    <x v="9"/>
    <s v="P005"/>
    <s v="Blender"/>
    <x v="1"/>
    <n v="4"/>
    <n v="59.99"/>
    <x v="3"/>
    <x v="4"/>
    <x v="2"/>
    <d v="2022-03-01T00:00:00"/>
    <n v="239.96"/>
    <x v="6"/>
    <n v="2024"/>
    <n v="1537"/>
    <s v="Low Value"/>
  </r>
  <r>
    <s v="TRX0159"/>
    <d v="2024-10-25T00:00:00"/>
    <s v="CUST024"/>
    <x v="5"/>
    <s v="P009"/>
    <s v="Monitor"/>
    <x v="0"/>
    <n v="4"/>
    <n v="249.99"/>
    <x v="3"/>
    <x v="0"/>
    <x v="1"/>
    <d v="2022-03-02T00:00:00"/>
    <n v="999.96"/>
    <x v="6"/>
    <n v="2024"/>
    <n v="1536"/>
    <s v="Medium Value"/>
  </r>
  <r>
    <s v="TRX0030"/>
    <d v="2024-10-26T00:00:00"/>
    <s v="CUST011"/>
    <x v="44"/>
    <s v="P001"/>
    <s v="Laptop"/>
    <x v="0"/>
    <n v="4"/>
    <n v="899.99"/>
    <x v="2"/>
    <x v="0"/>
    <x v="0"/>
    <d v="2022-03-03T00:00:00"/>
    <n v="3599.96"/>
    <x v="6"/>
    <n v="2024"/>
    <n v="1535"/>
    <s v="VIP Customer"/>
  </r>
  <r>
    <s v="TRX0178"/>
    <d v="2024-10-27T00:00:00"/>
    <s v="CUST025"/>
    <x v="14"/>
    <s v="P007"/>
    <s v="Desk"/>
    <x v="2"/>
    <n v="3"/>
    <n v="299.99"/>
    <x v="3"/>
    <x v="3"/>
    <x v="2"/>
    <d v="2022-03-04T00:00:00"/>
    <n v="899.97"/>
    <x v="6"/>
    <n v="2024"/>
    <n v="1534"/>
    <s v="Medium Value"/>
  </r>
  <r>
    <s v="TRX0188"/>
    <d v="2024-10-28T00:00:00"/>
    <s v="CUST045"/>
    <x v="46"/>
    <s v="P002"/>
    <s v="Smartphone"/>
    <x v="0"/>
    <n v="2"/>
    <n v="699.99"/>
    <x v="3"/>
    <x v="0"/>
    <x v="1"/>
    <d v="2022-03-05T00:00:00"/>
    <n v="1399.98"/>
    <x v="6"/>
    <n v="2024"/>
    <n v="1533"/>
    <s v="High Value"/>
  </r>
  <r>
    <s v="TRX0010"/>
    <d v="2024-10-29T00:00:00"/>
    <s v="CUST026"/>
    <x v="8"/>
    <s v="P002"/>
    <s v="Smartphone"/>
    <x v="0"/>
    <n v="4"/>
    <n v="699.99"/>
    <x v="3"/>
    <x v="3"/>
    <x v="1"/>
    <d v="2022-03-06T00:00:00"/>
    <n v="2799.96"/>
    <x v="6"/>
    <n v="2024"/>
    <n v="1532"/>
    <s v="VIP Customer"/>
  </r>
  <r>
    <s v="TRX0069"/>
    <d v="2024-10-30T00:00:00"/>
    <s v="CUST029"/>
    <x v="23"/>
    <s v="P010"/>
    <s v="Keyboard"/>
    <x v="0"/>
    <n v="2"/>
    <n v="89.99"/>
    <x v="3"/>
    <x v="1"/>
    <x v="0"/>
    <d v="2022-03-07T00:00:00"/>
    <n v="179.98"/>
    <x v="6"/>
    <n v="2024"/>
    <n v="1531"/>
    <s v="Low Value"/>
  </r>
  <r>
    <s v="TRX0166"/>
    <d v="2024-10-31T00:00:00"/>
    <s v="CUST003"/>
    <x v="4"/>
    <s v="P010"/>
    <s v="Keyboard"/>
    <x v="0"/>
    <n v="3"/>
    <n v="89.99"/>
    <x v="3"/>
    <x v="1"/>
    <x v="1"/>
    <d v="2022-03-08T00:00:00"/>
    <n v="269.97000000000003"/>
    <x v="6"/>
    <n v="2024"/>
    <n v="1530"/>
    <s v="Low Value"/>
  </r>
  <r>
    <s v="TRX0219"/>
    <d v="2024-11-01T00:00:00"/>
    <s v="CUST037"/>
    <x v="48"/>
    <s v="P005"/>
    <s v="Blender"/>
    <x v="1"/>
    <n v="1"/>
    <n v="59.99"/>
    <x v="3"/>
    <x v="0"/>
    <x v="2"/>
    <d v="2022-03-09T00:00:00"/>
    <n v="59.99"/>
    <x v="7"/>
    <n v="2024"/>
    <n v="1529"/>
    <s v="Low Value"/>
  </r>
  <r>
    <s v="TRX0024"/>
    <d v="2024-11-02T00:00:00"/>
    <s v="CUST042"/>
    <x v="43"/>
    <s v="P008"/>
    <s v="Bookshelf"/>
    <x v="2"/>
    <n v="3"/>
    <n v="149.99"/>
    <x v="3"/>
    <x v="2"/>
    <x v="1"/>
    <d v="2022-03-10T00:00:00"/>
    <n v="449.97"/>
    <x v="7"/>
    <n v="2024"/>
    <n v="1528"/>
    <s v="Low Value"/>
  </r>
  <r>
    <s v="TRX0105"/>
    <d v="2024-11-03T00:00:00"/>
    <s v="CUST048"/>
    <x v="16"/>
    <s v="P007"/>
    <s v="Desk"/>
    <x v="2"/>
    <n v="5"/>
    <n v="299.99"/>
    <x v="1"/>
    <x v="1"/>
    <x v="0"/>
    <d v="2022-03-11T00:00:00"/>
    <n v="1499.95"/>
    <x v="7"/>
    <n v="2024"/>
    <n v="1527"/>
    <s v="High Value"/>
  </r>
  <r>
    <s v="TRX0011"/>
    <d v="2024-11-04T00:00:00"/>
    <s v="CUST040"/>
    <x v="30"/>
    <s v="P005"/>
    <s v="Blender"/>
    <x v="1"/>
    <n v="5"/>
    <n v="59.99"/>
    <x v="3"/>
    <x v="0"/>
    <x v="2"/>
    <d v="2022-03-12T00:00:00"/>
    <n v="299.95"/>
    <x v="7"/>
    <n v="2024"/>
    <n v="1526"/>
    <s v="Low Value"/>
  </r>
  <r>
    <s v="TRX0187"/>
    <d v="2024-11-05T00:00:00"/>
    <s v="CUST036"/>
    <x v="20"/>
    <s v="P004"/>
    <s v="Coffee Maker"/>
    <x v="1"/>
    <n v="3"/>
    <n v="79.989999999999995"/>
    <x v="0"/>
    <x v="4"/>
    <x v="1"/>
    <d v="2022-03-13T00:00:00"/>
    <n v="239.97"/>
    <x v="7"/>
    <n v="2024"/>
    <n v="1525"/>
    <s v="Low Value"/>
  </r>
  <r>
    <s v="TRX0089"/>
    <d v="2024-11-06T00:00:00"/>
    <s v="CUST021"/>
    <x v="2"/>
    <s v="P006"/>
    <s v="Office Chair"/>
    <x v="2"/>
    <n v="3"/>
    <n v="199.99"/>
    <x v="0"/>
    <x v="0"/>
    <x v="0"/>
    <d v="2022-03-14T00:00:00"/>
    <n v="599.97"/>
    <x v="7"/>
    <n v="2024"/>
    <n v="1524"/>
    <s v="Medium Value"/>
  </r>
  <r>
    <s v="TRX0196"/>
    <d v="2024-11-07T00:00:00"/>
    <s v="CUST023"/>
    <x v="0"/>
    <s v="P010"/>
    <s v="Keyboard"/>
    <x v="0"/>
    <n v="2"/>
    <n v="89.99"/>
    <x v="2"/>
    <x v="0"/>
    <x v="0"/>
    <d v="2022-03-15T00:00:00"/>
    <n v="179.98"/>
    <x v="7"/>
    <n v="2024"/>
    <n v="1523"/>
    <s v="Low Value"/>
  </r>
  <r>
    <s v="TRX0118"/>
    <d v="2024-11-08T00:00:00"/>
    <s v="CUST015"/>
    <x v="45"/>
    <s v="P008"/>
    <s v="Bookshelf"/>
    <x v="2"/>
    <n v="2"/>
    <n v="149.99"/>
    <x v="0"/>
    <x v="1"/>
    <x v="1"/>
    <d v="2022-03-16T00:00:00"/>
    <n v="299.98"/>
    <x v="7"/>
    <n v="2024"/>
    <n v="1522"/>
    <s v="Low Value"/>
  </r>
  <r>
    <s v="TRX0179"/>
    <d v="2024-11-09T00:00:00"/>
    <s v="CUST029"/>
    <x v="23"/>
    <s v="P002"/>
    <s v="Smartphone"/>
    <x v="0"/>
    <n v="5"/>
    <n v="699.99"/>
    <x v="2"/>
    <x v="1"/>
    <x v="1"/>
    <d v="2022-03-17T00:00:00"/>
    <n v="3499.95"/>
    <x v="7"/>
    <n v="2024"/>
    <n v="1521"/>
    <s v="VIP Customer"/>
  </r>
  <r>
    <s v="TRX0168"/>
    <d v="2024-11-10T00:00:00"/>
    <s v="CUST003"/>
    <x v="4"/>
    <s v="P008"/>
    <s v="Bookshelf"/>
    <x v="2"/>
    <n v="3"/>
    <n v="149.99"/>
    <x v="2"/>
    <x v="0"/>
    <x v="2"/>
    <d v="2022-03-18T00:00:00"/>
    <n v="449.97"/>
    <x v="7"/>
    <n v="2024"/>
    <n v="1520"/>
    <s v="Low Value"/>
  </r>
  <r>
    <s v="TRX0214"/>
    <d v="2024-11-11T00:00:00"/>
    <s v="CUST018"/>
    <x v="17"/>
    <s v="P001"/>
    <s v="Laptop"/>
    <x v="0"/>
    <n v="3"/>
    <n v="899.99"/>
    <x v="0"/>
    <x v="4"/>
    <x v="2"/>
    <d v="2022-03-19T00:00:00"/>
    <n v="2699.97"/>
    <x v="7"/>
    <n v="2024"/>
    <n v="1519"/>
    <s v="VIP Customer"/>
  </r>
  <r>
    <s v="TRX0221"/>
    <d v="2024-11-12T00:00:00"/>
    <s v="CUST033"/>
    <x v="37"/>
    <s v="P006"/>
    <s v="Office Chair"/>
    <x v="2"/>
    <n v="3"/>
    <n v="199.99"/>
    <x v="0"/>
    <x v="3"/>
    <x v="1"/>
    <d v="2022-03-20T00:00:00"/>
    <n v="599.97"/>
    <x v="7"/>
    <n v="2024"/>
    <n v="1518"/>
    <s v="Medium Value"/>
  </r>
  <r>
    <s v="TRX0083"/>
    <d v="2024-11-13T00:00:00"/>
    <s v="CUST017"/>
    <x v="6"/>
    <s v="P007"/>
    <s v="Desk"/>
    <x v="2"/>
    <n v="5"/>
    <n v="299.99"/>
    <x v="0"/>
    <x v="3"/>
    <x v="2"/>
    <d v="2022-03-21T00:00:00"/>
    <n v="1499.95"/>
    <x v="7"/>
    <n v="2024"/>
    <n v="1517"/>
    <s v="High Value"/>
  </r>
  <r>
    <s v="TRX0151"/>
    <d v="2024-11-14T00:00:00"/>
    <s v="CUST040"/>
    <x v="30"/>
    <s v="P002"/>
    <s v="Smartphone"/>
    <x v="0"/>
    <n v="1"/>
    <n v="699.99"/>
    <x v="2"/>
    <x v="3"/>
    <x v="0"/>
    <d v="2022-03-22T00:00:00"/>
    <n v="699.99"/>
    <x v="7"/>
    <n v="2024"/>
    <n v="1516"/>
    <s v="Medium Value"/>
  </r>
  <r>
    <s v="TRX0047"/>
    <d v="2024-11-15T00:00:00"/>
    <s v="CUST042"/>
    <x v="43"/>
    <s v="P002"/>
    <s v="Smartphone"/>
    <x v="0"/>
    <n v="1"/>
    <n v="699.99"/>
    <x v="0"/>
    <x v="2"/>
    <x v="1"/>
    <d v="2022-03-23T00:00:00"/>
    <n v="699.99"/>
    <x v="7"/>
    <n v="2024"/>
    <n v="1515"/>
    <s v="Medium Value"/>
  </r>
  <r>
    <s v="TRX0200"/>
    <d v="2024-11-16T00:00:00"/>
    <s v="CUST037"/>
    <x v="48"/>
    <s v="P008"/>
    <s v="Bookshelf"/>
    <x v="2"/>
    <n v="4"/>
    <n v="149.99"/>
    <x v="2"/>
    <x v="2"/>
    <x v="1"/>
    <d v="2022-03-24T00:00:00"/>
    <n v="599.96"/>
    <x v="7"/>
    <n v="2024"/>
    <n v="1514"/>
    <s v="Medium Value"/>
  </r>
  <r>
    <s v="TRX0062"/>
    <d v="2024-11-17T00:00:00"/>
    <s v="CUST016"/>
    <x v="39"/>
    <s v="P010"/>
    <s v="Keyboard"/>
    <x v="0"/>
    <n v="5"/>
    <n v="89.99"/>
    <x v="2"/>
    <x v="3"/>
    <x v="1"/>
    <d v="2022-03-25T00:00:00"/>
    <n v="449.95"/>
    <x v="7"/>
    <n v="2024"/>
    <n v="1513"/>
    <s v="Low Value"/>
  </r>
  <r>
    <s v="TRX0182"/>
    <d v="2024-11-18T00:00:00"/>
    <s v="CUST031"/>
    <x v="26"/>
    <s v="P006"/>
    <s v="Office Chair"/>
    <x v="2"/>
    <n v="2"/>
    <n v="199.99"/>
    <x v="0"/>
    <x v="0"/>
    <x v="1"/>
    <d v="2022-03-26T00:00:00"/>
    <n v="399.98"/>
    <x v="7"/>
    <n v="2024"/>
    <n v="1512"/>
    <s v="Low Value"/>
  </r>
  <r>
    <s v="TRX0229"/>
    <d v="2024-11-19T00:00:00"/>
    <s v="CUST015"/>
    <x v="45"/>
    <s v="P005"/>
    <s v="Blender"/>
    <x v="1"/>
    <n v="4"/>
    <n v="59.99"/>
    <x v="0"/>
    <x v="3"/>
    <x v="2"/>
    <d v="2022-03-27T00:00:00"/>
    <n v="239.96"/>
    <x v="7"/>
    <n v="2024"/>
    <n v="1511"/>
    <s v="Low Value"/>
  </r>
  <r>
    <s v="TRX0048"/>
    <d v="2024-11-20T00:00:00"/>
    <s v="CUST048"/>
    <x v="16"/>
    <s v="P007"/>
    <s v="Desk"/>
    <x v="2"/>
    <n v="2"/>
    <n v="299.99"/>
    <x v="2"/>
    <x v="1"/>
    <x v="0"/>
    <d v="2022-03-28T00:00:00"/>
    <n v="599.98"/>
    <x v="7"/>
    <n v="2024"/>
    <n v="1510"/>
    <s v="Medium Value"/>
  </r>
  <r>
    <s v="TRX0227"/>
    <d v="2024-11-21T00:00:00"/>
    <s v="CUST017"/>
    <x v="6"/>
    <s v="P008"/>
    <s v="Bookshelf"/>
    <x v="2"/>
    <n v="2"/>
    <n v="149.99"/>
    <x v="0"/>
    <x v="0"/>
    <x v="0"/>
    <d v="2022-03-29T00:00:00"/>
    <n v="299.98"/>
    <x v="7"/>
    <n v="2024"/>
    <n v="1509"/>
    <s v="Low Value"/>
  </r>
  <r>
    <s v="TRX0226"/>
    <d v="2024-11-22T00:00:00"/>
    <s v="CUST039"/>
    <x v="40"/>
    <s v="P002"/>
    <s v="Smartphone"/>
    <x v="0"/>
    <n v="5"/>
    <n v="699.99"/>
    <x v="3"/>
    <x v="4"/>
    <x v="1"/>
    <d v="2022-03-30T00:00:00"/>
    <n v="3499.95"/>
    <x v="7"/>
    <n v="2024"/>
    <n v="1508"/>
    <s v="VIP Customer"/>
  </r>
  <r>
    <s v="TRX0053"/>
    <d v="2024-11-23T00:00:00"/>
    <s v="CUST043"/>
    <x v="11"/>
    <s v="P005"/>
    <s v="Blender"/>
    <x v="1"/>
    <n v="5"/>
    <n v="59.99"/>
    <x v="0"/>
    <x v="3"/>
    <x v="1"/>
    <d v="2022-03-31T00:00:00"/>
    <n v="299.95"/>
    <x v="7"/>
    <n v="2024"/>
    <n v="1507"/>
    <s v="Low Value"/>
  </r>
  <r>
    <s v="TRX0233"/>
    <d v="2024-11-24T00:00:00"/>
    <s v="CUST023"/>
    <x v="0"/>
    <s v="P010"/>
    <s v="Keyboard"/>
    <x v="0"/>
    <n v="2"/>
    <n v="89.99"/>
    <x v="1"/>
    <x v="3"/>
    <x v="1"/>
    <d v="2022-04-01T00:00:00"/>
    <n v="179.98"/>
    <x v="7"/>
    <n v="2024"/>
    <n v="1506"/>
    <s v="Low Value"/>
  </r>
  <r>
    <s v="TRX0175"/>
    <d v="2024-11-25T00:00:00"/>
    <s v="CUST030"/>
    <x v="22"/>
    <s v="P009"/>
    <s v="Monitor"/>
    <x v="0"/>
    <n v="5"/>
    <n v="249.99"/>
    <x v="0"/>
    <x v="4"/>
    <x v="2"/>
    <d v="2022-04-02T00:00:00"/>
    <n v="1249.95"/>
    <x v="7"/>
    <n v="2024"/>
    <n v="1505"/>
    <s v="High Value"/>
  </r>
  <r>
    <s v="TRX0186"/>
    <d v="2024-11-26T00:00:00"/>
    <s v="CUST039"/>
    <x v="40"/>
    <s v="P008"/>
    <s v="Bookshelf"/>
    <x v="2"/>
    <n v="2"/>
    <n v="149.99"/>
    <x v="2"/>
    <x v="0"/>
    <x v="1"/>
    <d v="2022-04-03T00:00:00"/>
    <n v="299.98"/>
    <x v="7"/>
    <n v="2024"/>
    <n v="1504"/>
    <s v="Low Value"/>
  </r>
  <r>
    <s v="TRX0016"/>
    <d v="2024-11-27T00:00:00"/>
    <s v="CUST035"/>
    <x v="28"/>
    <s v="P001"/>
    <s v="Laptop"/>
    <x v="0"/>
    <n v="5"/>
    <n v="899.99"/>
    <x v="2"/>
    <x v="4"/>
    <x v="1"/>
    <d v="2022-04-04T00:00:00"/>
    <n v="4499.95"/>
    <x v="7"/>
    <n v="2024"/>
    <n v="1503"/>
    <s v="VIP Customer"/>
  </r>
  <r>
    <s v="TRX0199"/>
    <d v="2024-11-28T00:00:00"/>
    <s v="CUST017"/>
    <x v="6"/>
    <s v="P008"/>
    <s v="Bookshelf"/>
    <x v="2"/>
    <n v="4"/>
    <n v="149.99"/>
    <x v="0"/>
    <x v="0"/>
    <x v="2"/>
    <d v="2022-04-05T00:00:00"/>
    <n v="599.96"/>
    <x v="7"/>
    <n v="2024"/>
    <n v="1502"/>
    <s v="Medium Value"/>
  </r>
  <r>
    <s v="TRX0038"/>
    <d v="2024-11-29T00:00:00"/>
    <s v="CUST035"/>
    <x v="28"/>
    <s v="P009"/>
    <s v="Monitor"/>
    <x v="0"/>
    <n v="1"/>
    <n v="249.99"/>
    <x v="0"/>
    <x v="2"/>
    <x v="2"/>
    <d v="2022-04-06T00:00:00"/>
    <n v="249.99"/>
    <x v="7"/>
    <n v="2024"/>
    <n v="1501"/>
    <s v="Low Value"/>
  </r>
  <r>
    <s v="TRX0014"/>
    <d v="2024-11-30T00:00:00"/>
    <s v="CUST033"/>
    <x v="37"/>
    <s v="P005"/>
    <s v="Blender"/>
    <x v="1"/>
    <n v="2"/>
    <n v="59.99"/>
    <x v="1"/>
    <x v="3"/>
    <x v="0"/>
    <d v="2022-04-07T00:00:00"/>
    <n v="119.98"/>
    <x v="7"/>
    <n v="2024"/>
    <n v="1500"/>
    <s v="Low Value"/>
  </r>
  <r>
    <s v="TRX0003"/>
    <d v="2024-12-01T00:00:00"/>
    <s v="CUST002"/>
    <x v="25"/>
    <s v="P008"/>
    <s v="Bookshelf"/>
    <x v="2"/>
    <n v="2"/>
    <n v="149.99"/>
    <x v="0"/>
    <x v="3"/>
    <x v="1"/>
    <d v="2022-04-08T00:00:00"/>
    <n v="299.98"/>
    <x v="8"/>
    <n v="2024"/>
    <n v="1499"/>
    <s v="Low Value"/>
  </r>
  <r>
    <s v="TRX0124"/>
    <d v="2024-12-02T00:00:00"/>
    <s v="CUST040"/>
    <x v="30"/>
    <s v="P001"/>
    <s v="Laptop"/>
    <x v="0"/>
    <n v="3"/>
    <n v="899.99"/>
    <x v="3"/>
    <x v="2"/>
    <x v="1"/>
    <d v="2022-04-09T00:00:00"/>
    <n v="2699.97"/>
    <x v="8"/>
    <n v="2024"/>
    <n v="1498"/>
    <s v="VIP Customer"/>
  </r>
  <r>
    <s v="TRX0013"/>
    <d v="2024-12-03T00:00:00"/>
    <s v="CUST024"/>
    <x v="5"/>
    <s v="P001"/>
    <s v="Laptop"/>
    <x v="0"/>
    <n v="3"/>
    <n v="899.99"/>
    <x v="2"/>
    <x v="2"/>
    <x v="0"/>
    <d v="2022-04-10T00:00:00"/>
    <n v="2699.97"/>
    <x v="8"/>
    <n v="2024"/>
    <n v="1497"/>
    <s v="VIP Customer"/>
  </r>
  <r>
    <s v="TRX0019"/>
    <d v="2024-12-04T00:00:00"/>
    <s v="CUST023"/>
    <x v="0"/>
    <s v="P007"/>
    <s v="Desk"/>
    <x v="2"/>
    <n v="3"/>
    <n v="299.99"/>
    <x v="1"/>
    <x v="3"/>
    <x v="1"/>
    <d v="2022-04-11T00:00:00"/>
    <n v="899.97"/>
    <x v="8"/>
    <n v="2024"/>
    <n v="1496"/>
    <s v="Medium Value"/>
  </r>
  <r>
    <s v="TRX0050"/>
    <d v="2024-12-05T00:00:00"/>
    <s v="CUST001"/>
    <x v="49"/>
    <s v="P008"/>
    <s v="Bookshelf"/>
    <x v="2"/>
    <n v="4"/>
    <n v="149.99"/>
    <x v="2"/>
    <x v="3"/>
    <x v="2"/>
    <d v="2022-04-12T00:00:00"/>
    <n v="599.96"/>
    <x v="8"/>
    <n v="2024"/>
    <n v="1495"/>
    <s v="Medium Value"/>
  </r>
  <r>
    <s v="TRX0152"/>
    <d v="2024-12-06T00:00:00"/>
    <s v="CUST044"/>
    <x v="19"/>
    <s v="P004"/>
    <s v="Coffee Maker"/>
    <x v="1"/>
    <n v="4"/>
    <n v="79.989999999999995"/>
    <x v="1"/>
    <x v="0"/>
    <x v="0"/>
    <d v="2022-04-13T00:00:00"/>
    <n v="319.95999999999998"/>
    <x v="8"/>
    <n v="2024"/>
    <n v="1494"/>
    <s v="Low Value"/>
  </r>
  <r>
    <s v="TRX0213"/>
    <d v="2024-12-07T00:00:00"/>
    <s v="CUST020"/>
    <x v="36"/>
    <s v="P010"/>
    <s v="Keyboard"/>
    <x v="0"/>
    <n v="5"/>
    <n v="89.99"/>
    <x v="2"/>
    <x v="1"/>
    <x v="0"/>
    <d v="2022-04-14T00:00:00"/>
    <n v="449.95"/>
    <x v="8"/>
    <n v="2024"/>
    <n v="1493"/>
    <s v="Low Value"/>
  </r>
  <r>
    <s v="TRX0197"/>
    <d v="2024-12-08T00:00:00"/>
    <s v="CUST048"/>
    <x v="16"/>
    <s v="P008"/>
    <s v="Bookshelf"/>
    <x v="2"/>
    <n v="3"/>
    <n v="149.99"/>
    <x v="2"/>
    <x v="0"/>
    <x v="2"/>
    <d v="2022-04-15T00:00:00"/>
    <n v="449.97"/>
    <x v="8"/>
    <n v="2024"/>
    <n v="1492"/>
    <s v="Low Value"/>
  </r>
  <r>
    <s v="TRX0250"/>
    <d v="2024-12-09T00:00:00"/>
    <s v="CUST026"/>
    <x v="8"/>
    <s v="P010"/>
    <s v="Keyboard"/>
    <x v="0"/>
    <n v="2"/>
    <n v="89.99"/>
    <x v="3"/>
    <x v="3"/>
    <x v="1"/>
    <d v="2022-04-16T00:00:00"/>
    <n v="179.98"/>
    <x v="8"/>
    <n v="2024"/>
    <n v="1491"/>
    <s v="Low Value"/>
  </r>
  <r>
    <s v="TRX0068"/>
    <d v="2024-12-10T00:00:00"/>
    <s v="CUST044"/>
    <x v="19"/>
    <s v="P002"/>
    <s v="Smartphone"/>
    <x v="0"/>
    <n v="2"/>
    <n v="699.99"/>
    <x v="2"/>
    <x v="2"/>
    <x v="2"/>
    <d v="2022-04-17T00:00:00"/>
    <n v="1399.98"/>
    <x v="8"/>
    <n v="2024"/>
    <n v="1490"/>
    <s v="High Value"/>
  </r>
  <r>
    <s v="TRX0144"/>
    <d v="2024-12-11T00:00:00"/>
    <s v="CUST029"/>
    <x v="23"/>
    <s v="P001"/>
    <s v="Laptop"/>
    <x v="0"/>
    <n v="3"/>
    <n v="899.99"/>
    <x v="0"/>
    <x v="0"/>
    <x v="2"/>
    <d v="2022-04-18T00:00:00"/>
    <n v="2699.97"/>
    <x v="8"/>
    <n v="2024"/>
    <n v="1489"/>
    <s v="VIP Customer"/>
  </r>
  <r>
    <s v="TRX0039"/>
    <d v="2024-12-12T00:00:00"/>
    <s v="CUST048"/>
    <x v="16"/>
    <s v="P004"/>
    <s v="Coffee Maker"/>
    <x v="1"/>
    <n v="3"/>
    <n v="79.989999999999995"/>
    <x v="1"/>
    <x v="2"/>
    <x v="0"/>
    <d v="2022-04-19T00:00:00"/>
    <n v="239.97"/>
    <x v="8"/>
    <n v="2024"/>
    <n v="1488"/>
    <s v="Low Value"/>
  </r>
  <r>
    <s v="TRX0116"/>
    <d v="2024-12-13T00:00:00"/>
    <s v="CUST009"/>
    <x v="7"/>
    <s v="P010"/>
    <s v="Keyboard"/>
    <x v="0"/>
    <n v="1"/>
    <n v="89.99"/>
    <x v="3"/>
    <x v="4"/>
    <x v="0"/>
    <d v="2022-04-20T00:00:00"/>
    <n v="89.99"/>
    <x v="8"/>
    <n v="2024"/>
    <n v="1487"/>
    <s v="Low Value"/>
  </r>
  <r>
    <s v="TRX0120"/>
    <d v="2024-12-14T00:00:00"/>
    <s v="CUST045"/>
    <x v="46"/>
    <s v="P002"/>
    <s v="Smartphone"/>
    <x v="0"/>
    <n v="3"/>
    <n v="699.99"/>
    <x v="2"/>
    <x v="2"/>
    <x v="0"/>
    <d v="2022-04-21T00:00:00"/>
    <n v="2099.9699999999998"/>
    <x v="8"/>
    <n v="2024"/>
    <n v="1486"/>
    <s v="VIP Customer"/>
  </r>
  <r>
    <s v="TRX0103"/>
    <d v="2024-12-15T00:00:00"/>
    <s v="CUST039"/>
    <x v="40"/>
    <s v="P010"/>
    <s v="Keyboard"/>
    <x v="0"/>
    <n v="2"/>
    <n v="89.99"/>
    <x v="3"/>
    <x v="4"/>
    <x v="0"/>
    <d v="2022-04-22T00:00:00"/>
    <n v="179.98"/>
    <x v="8"/>
    <n v="2024"/>
    <n v="1485"/>
    <s v="Low Value"/>
  </r>
  <r>
    <s v="TRX0064"/>
    <d v="2024-12-16T00:00:00"/>
    <s v="CUST031"/>
    <x v="26"/>
    <s v="P010"/>
    <s v="Keyboard"/>
    <x v="0"/>
    <n v="3"/>
    <n v="89.99"/>
    <x v="3"/>
    <x v="2"/>
    <x v="1"/>
    <d v="2022-04-23T00:00:00"/>
    <n v="269.97000000000003"/>
    <x v="8"/>
    <n v="2024"/>
    <n v="1484"/>
    <s v="Low Valu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1">
  <r>
    <s v="TRX0155"/>
    <d v="2024-04-11T00:00:00"/>
    <s v="CUST023"/>
    <s v="Paul Baker"/>
    <s v="P009"/>
    <s v="Monitor"/>
    <s v="Electronics"/>
    <n v="3"/>
    <n v="249.99"/>
    <s v="Cash"/>
    <x v="0"/>
    <s v="Basic"/>
    <d v="2021-08-17T00:00:00"/>
    <n v="749.97"/>
    <s v="Apr"/>
    <n v="2024"/>
    <n v="1733"/>
    <s v="Medium Value"/>
  </r>
  <r>
    <s v="TRX0023"/>
    <d v="2024-04-12T00:00:00"/>
    <s v="CUST013"/>
    <s v="Joseph Jackson"/>
    <s v="P009"/>
    <s v="Monitor"/>
    <s v="Electronics"/>
    <n v="3"/>
    <n v="249.99"/>
    <s v="Credit Card"/>
    <x v="0"/>
    <s v="Premium"/>
    <d v="2021-08-18T00:00:00"/>
    <n v="749.97"/>
    <s v="Apr"/>
    <n v="2024"/>
    <n v="1732"/>
    <s v="Medium Value"/>
  </r>
  <r>
    <s v="TRX0139"/>
    <d v="2024-04-13T00:00:00"/>
    <s v="CUST021"/>
    <s v="Kevin Scott"/>
    <s v="P005"/>
    <s v="Blender"/>
    <s v="Appliances"/>
    <n v="3"/>
    <n v="59.99"/>
    <s v="PayPal"/>
    <x v="1"/>
    <s v="Standard"/>
    <d v="2021-08-19T00:00:00"/>
    <n v="179.97"/>
    <s v="Apr"/>
    <n v="2024"/>
    <n v="1731"/>
    <s v="Low Value"/>
  </r>
  <r>
    <s v="TRX0043"/>
    <d v="2024-04-14T00:00:00"/>
    <s v="CUST046"/>
    <s v="Kathleen Bennett"/>
    <s v="P005"/>
    <s v="Blender"/>
    <s v="Appliances"/>
    <n v="3"/>
    <n v="59.99"/>
    <s v="Cash"/>
    <x v="2"/>
    <s v="Premium"/>
    <d v="2021-08-20T00:00:00"/>
    <n v="179.97"/>
    <s v="Apr"/>
    <n v="2024"/>
    <n v="1730"/>
    <s v="Low Value"/>
  </r>
  <r>
    <s v="TRX0212"/>
    <d v="2024-04-15T00:00:00"/>
    <s v="CUST003"/>
    <s v="Michael Brown"/>
    <s v="P008"/>
    <s v="Bookshelf"/>
    <s v="Furniture"/>
    <n v="5"/>
    <n v="149.99"/>
    <s v="Credit Card"/>
    <x v="2"/>
    <s v="Premium"/>
    <d v="2021-08-21T00:00:00"/>
    <n v="749.95"/>
    <s v="Apr"/>
    <n v="2024"/>
    <n v="1729"/>
    <s v="Medium Value"/>
  </r>
  <r>
    <s v="TRX0092"/>
    <d v="2024-04-16T00:00:00"/>
    <s v="CUST024"/>
    <s v="Dorothy Nelson"/>
    <s v="P005"/>
    <s v="Blender"/>
    <s v="Appliances"/>
    <n v="2"/>
    <n v="59.99"/>
    <s v="Cash"/>
    <x v="3"/>
    <s v="Standard"/>
    <d v="2021-08-22T00:00:00"/>
    <n v="119.98"/>
    <s v="Apr"/>
    <n v="2024"/>
    <n v="1728"/>
    <s v="Low Value"/>
  </r>
  <r>
    <s v="TRX0193"/>
    <d v="2024-04-17T00:00:00"/>
    <s v="CUST024"/>
    <s v="Dorothy Nelson"/>
    <s v="P003"/>
    <s v="Headphones"/>
    <s v="Electronics"/>
    <n v="5"/>
    <n v="149.99"/>
    <s v="Credit Card"/>
    <x v="0"/>
    <s v="Standard"/>
    <d v="2021-08-23T00:00:00"/>
    <n v="749.95"/>
    <s v="Apr"/>
    <n v="2024"/>
    <n v="1727"/>
    <s v="Medium Value"/>
  </r>
  <r>
    <s v="TRX0240"/>
    <d v="2024-04-18T00:00:00"/>
    <s v="CUST017"/>
    <s v="Charles Allen"/>
    <s v="P005"/>
    <s v="Blender"/>
    <s v="Appliances"/>
    <n v="3"/>
    <n v="59.99"/>
    <s v="Debit Card"/>
    <x v="1"/>
    <s v="Basic"/>
    <d v="2021-08-24T00:00:00"/>
    <n v="179.97"/>
    <s v="Apr"/>
    <n v="2024"/>
    <n v="1726"/>
    <s v="Low Value"/>
  </r>
  <r>
    <s v="TRX0135"/>
    <d v="2024-04-19T00:00:00"/>
    <s v="CUST009"/>
    <s v="Robert Thomas"/>
    <s v="P001"/>
    <s v="Laptop"/>
    <s v="Electronics"/>
    <n v="3"/>
    <n v="899.99"/>
    <s v="PayPal"/>
    <x v="4"/>
    <s v="Standard"/>
    <d v="2021-08-25T00:00:00"/>
    <n v="2699.97"/>
    <s v="Apr"/>
    <n v="2024"/>
    <n v="1725"/>
    <s v="VIP Customer"/>
  </r>
  <r>
    <s v="TRX0185"/>
    <d v="2024-04-20T00:00:00"/>
    <s v="CUST026"/>
    <s v="Karen Hill"/>
    <s v="P005"/>
    <s v="Blender"/>
    <s v="Appliances"/>
    <n v="3"/>
    <n v="59.99"/>
    <s v="Cash"/>
    <x v="3"/>
    <s v="Premium"/>
    <d v="2021-08-26T00:00:00"/>
    <n v="179.97"/>
    <s v="Apr"/>
    <n v="2024"/>
    <n v="1724"/>
    <s v="Low Value"/>
  </r>
  <r>
    <s v="TRX0138"/>
    <d v="2024-04-21T00:00:00"/>
    <s v="CUST022"/>
    <s v="Susan Green"/>
    <s v="P008"/>
    <s v="Bookshelf"/>
    <s v="Furniture"/>
    <n v="1"/>
    <n v="149.99"/>
    <s v="Credit Card"/>
    <x v="3"/>
    <s v="Standard"/>
    <d v="2021-08-27T00:00:00"/>
    <n v="149.99"/>
    <s v="Apr"/>
    <n v="2024"/>
    <n v="1723"/>
    <s v="Low Value"/>
  </r>
  <r>
    <s v="TRX0209"/>
    <d v="2024-04-22T00:00:00"/>
    <s v="CUST046"/>
    <s v="Kathleen Bennett"/>
    <s v="P008"/>
    <s v="Bookshelf"/>
    <s v="Furniture"/>
    <n v="5"/>
    <n v="149.99"/>
    <s v="Debit Card"/>
    <x v="2"/>
    <s v="Basic"/>
    <d v="2021-08-28T00:00:00"/>
    <n v="749.95"/>
    <s v="Apr"/>
    <n v="2024"/>
    <n v="1722"/>
    <s v="Medium Value"/>
  </r>
  <r>
    <s v="TRX0246"/>
    <d v="2024-04-23T00:00:00"/>
    <s v="CUST041"/>
    <s v="Peter Richardson"/>
    <s v="P008"/>
    <s v="Bookshelf"/>
    <s v="Furniture"/>
    <n v="3"/>
    <n v="149.99"/>
    <s v="Cash"/>
    <x v="2"/>
    <s v="Premium"/>
    <d v="2021-08-29T00:00:00"/>
    <n v="449.97"/>
    <s v="Apr"/>
    <n v="2024"/>
    <n v="1721"/>
    <s v="Low Value"/>
  </r>
  <r>
    <s v="TRX0067"/>
    <d v="2024-04-24T00:00:00"/>
    <s v="CUST043"/>
    <s v="Dennis Gray"/>
    <s v="P005"/>
    <s v="Blender"/>
    <s v="Appliances"/>
    <n v="3"/>
    <n v="59.99"/>
    <s v="Credit Card"/>
    <x v="2"/>
    <s v="Standard"/>
    <d v="2021-08-30T00:00:00"/>
    <n v="179.97"/>
    <s v="Apr"/>
    <n v="2024"/>
    <n v="1720"/>
    <s v="Low Value"/>
  </r>
  <r>
    <s v="TRX0191"/>
    <d v="2024-04-25T00:00:00"/>
    <s v="CUST038"/>
    <s v="Michelle Rogers"/>
    <s v="P002"/>
    <s v="Smartphone"/>
    <s v="Electronics"/>
    <n v="3"/>
    <n v="699.99"/>
    <s v="Credit Card"/>
    <x v="3"/>
    <s v="Basic"/>
    <d v="2021-08-31T00:00:00"/>
    <n v="2099.9699999999998"/>
    <s v="Apr"/>
    <n v="2024"/>
    <n v="1719"/>
    <s v="VIP Customer"/>
  </r>
  <r>
    <s v="TRX0230"/>
    <d v="2024-04-26T00:00:00"/>
    <s v="CUST027"/>
    <s v="George Adams"/>
    <s v="P001"/>
    <s v="Laptop"/>
    <s v="Electronics"/>
    <n v="1"/>
    <n v="899.99"/>
    <s v="Debit Card"/>
    <x v="2"/>
    <s v="Standard"/>
    <d v="2021-09-01T00:00:00"/>
    <n v="899.99"/>
    <s v="Apr"/>
    <n v="2024"/>
    <n v="1718"/>
    <s v="Medium Value"/>
  </r>
  <r>
    <s v="TRX0049"/>
    <d v="2024-04-27T00:00:00"/>
    <s v="CUST025"/>
    <s v="Mark Carter"/>
    <s v="P008"/>
    <s v="Bookshelf"/>
    <s v="Furniture"/>
    <n v="4"/>
    <n v="149.99"/>
    <s v="Debit Card"/>
    <x v="2"/>
    <s v="Premium"/>
    <d v="2021-09-02T00:00:00"/>
    <n v="599.96"/>
    <s v="Apr"/>
    <n v="2024"/>
    <n v="1717"/>
    <s v="Medium Value"/>
  </r>
  <r>
    <s v="TRX0134"/>
    <d v="2024-04-28T00:00:00"/>
    <s v="CUST010"/>
    <s v="Maria Garcia"/>
    <s v="P002"/>
    <s v="Smartphone"/>
    <s v="Electronics"/>
    <n v="2"/>
    <n v="699.99"/>
    <s v="Cash"/>
    <x v="2"/>
    <s v="Basic"/>
    <d v="2021-09-03T00:00:00"/>
    <n v="1399.98"/>
    <s v="Apr"/>
    <n v="2024"/>
    <n v="1716"/>
    <s v="High Value"/>
  </r>
  <r>
    <s v="TRX0122"/>
    <d v="2024-04-29T00:00:00"/>
    <s v="CUST025"/>
    <s v="Mark Carter"/>
    <s v="P001"/>
    <s v="Laptop"/>
    <s v="Electronics"/>
    <n v="4"/>
    <n v="899.99"/>
    <s v="Credit Card"/>
    <x v="3"/>
    <s v="Standard"/>
    <d v="2021-09-04T00:00:00"/>
    <n v="3599.96"/>
    <s v="Apr"/>
    <n v="2024"/>
    <n v="1715"/>
    <s v="VIP Customer"/>
  </r>
  <r>
    <s v="TRX0222"/>
    <d v="2024-04-30T00:00:00"/>
    <s v="CUST048"/>
    <s v="Virginia Sanders"/>
    <s v="P009"/>
    <s v="Monitor"/>
    <s v="Electronics"/>
    <n v="3"/>
    <n v="249.99"/>
    <s v="Credit Card"/>
    <x v="2"/>
    <s v="Premium"/>
    <d v="2021-09-05T00:00:00"/>
    <n v="749.97"/>
    <s v="Apr"/>
    <n v="2024"/>
    <n v="1714"/>
    <s v="Medium Value"/>
  </r>
  <r>
    <s v="TRX0231"/>
    <d v="2024-05-01T00:00:00"/>
    <s v="CUST018"/>
    <s v="Barbara Young"/>
    <s v="P002"/>
    <s v="Smartphone"/>
    <s v="Electronics"/>
    <n v="5"/>
    <n v="699.99"/>
    <s v="Cash"/>
    <x v="3"/>
    <s v="Basic"/>
    <d v="2021-09-06T00:00:00"/>
    <n v="3499.95"/>
    <s v="May"/>
    <n v="2024"/>
    <n v="1713"/>
    <s v="VIP Customer"/>
  </r>
  <r>
    <s v="TRX0239"/>
    <d v="2024-05-02T00:00:00"/>
    <s v="CUST012"/>
    <s v="Patricia Moore"/>
    <s v="P002"/>
    <s v="Smartphone"/>
    <s v="Electronics"/>
    <n v="4"/>
    <n v="699.99"/>
    <s v="Cash"/>
    <x v="4"/>
    <s v="Standard"/>
    <d v="2021-09-07T00:00:00"/>
    <n v="2799.96"/>
    <s v="May"/>
    <n v="2024"/>
    <n v="1712"/>
    <s v="VIP Customer"/>
  </r>
  <r>
    <s v="TRX0204"/>
    <d v="2024-05-03T00:00:00"/>
    <s v="CUST044"/>
    <s v="Cynthia Price"/>
    <s v="P009"/>
    <s v="Monitor"/>
    <s v="Electronics"/>
    <n v="4"/>
    <n v="249.99"/>
    <s v="PayPal"/>
    <x v="2"/>
    <s v="Standard"/>
    <d v="2021-09-08T00:00:00"/>
    <n v="999.96"/>
    <s v="May"/>
    <n v="2024"/>
    <n v="1711"/>
    <s v="Medium Value"/>
  </r>
  <r>
    <s v="TRX0242"/>
    <d v="2024-05-04T00:00:00"/>
    <s v="CUST025"/>
    <s v="Mark Carter"/>
    <s v="P007"/>
    <s v="Desk"/>
    <s v="Furniture"/>
    <n v="4"/>
    <n v="299.99"/>
    <s v="Cash"/>
    <x v="3"/>
    <s v="Premium"/>
    <d v="2021-09-09T00:00:00"/>
    <n v="1199.96"/>
    <s v="May"/>
    <n v="2024"/>
    <n v="1710"/>
    <s v="High Value"/>
  </r>
  <r>
    <s v="TRX0071"/>
    <d v="2024-05-05T00:00:00"/>
    <s v="CUST036"/>
    <s v="Nancy Collins"/>
    <s v="P009"/>
    <s v="Monitor"/>
    <s v="Electronics"/>
    <n v="5"/>
    <n v="249.99"/>
    <s v="Credit Card"/>
    <x v="3"/>
    <s v="Standard"/>
    <d v="2021-09-10T00:00:00"/>
    <n v="1249.95"/>
    <s v="May"/>
    <n v="2024"/>
    <n v="1709"/>
    <s v="High Value"/>
  </r>
  <r>
    <s v="TRX0040"/>
    <d v="2024-05-06T00:00:00"/>
    <s v="CUST022"/>
    <s v="Susan Green"/>
    <s v="P007"/>
    <s v="Desk"/>
    <s v="Furniture"/>
    <n v="5"/>
    <n v="299.99"/>
    <s v="PayPal"/>
    <x v="4"/>
    <s v="Basic"/>
    <d v="2021-09-11T00:00:00"/>
    <n v="1499.95"/>
    <s v="May"/>
    <n v="2024"/>
    <n v="1708"/>
    <s v="High Value"/>
  </r>
  <r>
    <s v="TRX0235"/>
    <d v="2024-05-07T00:00:00"/>
    <s v="CUST014"/>
    <s v="Linda Martin"/>
    <s v="P004"/>
    <s v="Coffee Maker"/>
    <s v="Appliances"/>
    <n v="3"/>
    <n v="79.989999999999995"/>
    <s v="PayPal"/>
    <x v="4"/>
    <s v="Premium"/>
    <d v="2021-09-12T00:00:00"/>
    <n v="239.97"/>
    <s v="May"/>
    <n v="2024"/>
    <n v="1707"/>
    <s v="Low Value"/>
  </r>
  <r>
    <s v="TRX0004"/>
    <d v="2024-05-08T00:00:00"/>
    <s v="CUST012"/>
    <s v="Patricia Moore"/>
    <s v="P010"/>
    <s v="Keyboard"/>
    <s v="Electronics"/>
    <n v="5"/>
    <n v="89.99"/>
    <s v="Cash"/>
    <x v="2"/>
    <s v="Premium"/>
    <d v="2021-09-13T00:00:00"/>
    <n v="449.95"/>
    <s v="May"/>
    <n v="2024"/>
    <n v="1706"/>
    <s v="Low Value"/>
  </r>
  <r>
    <s v="TRX0063"/>
    <d v="2024-05-09T00:00:00"/>
    <s v="CUST030"/>
    <s v="Helen Roberts"/>
    <s v="P005"/>
    <s v="Blender"/>
    <s v="Appliances"/>
    <n v="2"/>
    <n v="59.99"/>
    <s v="Debit Card"/>
    <x v="0"/>
    <s v="Standard"/>
    <d v="2021-09-14T00:00:00"/>
    <n v="119.98"/>
    <s v="May"/>
    <n v="2024"/>
    <n v="1705"/>
    <s v="Low Value"/>
  </r>
  <r>
    <s v="TRX0241"/>
    <d v="2024-05-10T00:00:00"/>
    <s v="CUST029"/>
    <s v="Edward Mitchell"/>
    <s v="P005"/>
    <s v="Blender"/>
    <s v="Appliances"/>
    <n v="4"/>
    <n v="59.99"/>
    <s v="Debit Card"/>
    <x v="4"/>
    <s v="Standard"/>
    <d v="2021-09-15T00:00:00"/>
    <n v="239.96"/>
    <s v="May"/>
    <n v="2024"/>
    <n v="1704"/>
    <s v="Low Value"/>
  </r>
  <r>
    <s v="TRX0029"/>
    <d v="2024-05-11T00:00:00"/>
    <s v="CUST017"/>
    <s v="Charles Allen"/>
    <s v="P006"/>
    <s v="Office Chair"/>
    <s v="Furniture"/>
    <n v="5"/>
    <n v="199.99"/>
    <s v="Cash"/>
    <x v="1"/>
    <s v="Standard"/>
    <d v="2021-09-16T00:00:00"/>
    <n v="999.95"/>
    <s v="May"/>
    <n v="2024"/>
    <n v="1703"/>
    <s v="Medium Value"/>
  </r>
  <r>
    <s v="TRX0194"/>
    <d v="2024-05-12T00:00:00"/>
    <s v="CUST006"/>
    <s v="Lisa Anderson"/>
    <s v="P008"/>
    <s v="Bookshelf"/>
    <s v="Furniture"/>
    <n v="2"/>
    <n v="149.99"/>
    <s v="Credit Card"/>
    <x v="3"/>
    <s v="Basic"/>
    <d v="2021-09-17T00:00:00"/>
    <n v="299.98"/>
    <s v="May"/>
    <n v="2024"/>
    <n v="1702"/>
    <s v="Low Value"/>
  </r>
  <r>
    <s v="TRX0130"/>
    <d v="2024-05-13T00:00:00"/>
    <s v="CUST002"/>
    <s v="Emma Wilson"/>
    <s v="P008"/>
    <s v="Bookshelf"/>
    <s v="Furniture"/>
    <n v="3"/>
    <n v="149.99"/>
    <s v="Credit Card"/>
    <x v="3"/>
    <s v="Premium"/>
    <d v="2021-09-18T00:00:00"/>
    <n v="449.97"/>
    <s v="May"/>
    <n v="2024"/>
    <n v="1701"/>
    <s v="Low Value"/>
  </r>
  <r>
    <s v="TRX0041"/>
    <d v="2024-05-14T00:00:00"/>
    <s v="CUST021"/>
    <s v="Kevin Scott"/>
    <s v="P001"/>
    <s v="Laptop"/>
    <s v="Electronics"/>
    <n v="1"/>
    <n v="899.99"/>
    <s v="Credit Card"/>
    <x v="3"/>
    <s v="Premium"/>
    <d v="2021-09-19T00:00:00"/>
    <n v="899.99"/>
    <s v="May"/>
    <n v="2024"/>
    <n v="1700"/>
    <s v="Medium Value"/>
  </r>
  <r>
    <s v="TRX0232"/>
    <d v="2024-05-15T00:00:00"/>
    <s v="CUST012"/>
    <s v="Patricia Moore"/>
    <s v="P007"/>
    <s v="Desk"/>
    <s v="Furniture"/>
    <n v="3"/>
    <n v="299.99"/>
    <s v="Credit Card"/>
    <x v="4"/>
    <s v="Basic"/>
    <d v="2021-09-20T00:00:00"/>
    <n v="899.97"/>
    <s v="May"/>
    <n v="2024"/>
    <n v="1699"/>
    <s v="Medium Value"/>
  </r>
  <r>
    <s v="TRX0021"/>
    <d v="2024-05-16T00:00:00"/>
    <s v="CUST006"/>
    <s v="Lisa Anderson"/>
    <s v="P004"/>
    <s v="Coffee Maker"/>
    <s v="Appliances"/>
    <n v="3"/>
    <n v="79.989999999999995"/>
    <s v="Cash"/>
    <x v="1"/>
    <s v="Basic"/>
    <d v="2021-09-21T00:00:00"/>
    <n v="239.97"/>
    <s v="May"/>
    <n v="2024"/>
    <n v="1698"/>
    <s v="Low Value"/>
  </r>
  <r>
    <s v="TRX0245"/>
    <d v="2024-05-17T00:00:00"/>
    <s v="CUST031"/>
    <s v="Steven Turner"/>
    <s v="P006"/>
    <s v="Office Chair"/>
    <s v="Furniture"/>
    <n v="3"/>
    <n v="199.99"/>
    <s v="Credit Card"/>
    <x v="2"/>
    <s v="Premium"/>
    <d v="2021-09-22T00:00:00"/>
    <n v="599.97"/>
    <s v="May"/>
    <n v="2024"/>
    <n v="1697"/>
    <s v="Medium Value"/>
  </r>
  <r>
    <s v="TRX0015"/>
    <d v="2024-05-18T00:00:00"/>
    <s v="CUST008"/>
    <s v="Jennifer Taylor"/>
    <s v="P002"/>
    <s v="Smartphone"/>
    <s v="Electronics"/>
    <n v="5"/>
    <n v="699.99"/>
    <s v="PayPal"/>
    <x v="3"/>
    <s v="Standard"/>
    <d v="2021-09-23T00:00:00"/>
    <n v="3499.95"/>
    <s v="May"/>
    <n v="2024"/>
    <n v="1696"/>
    <s v="VIP Customer"/>
  </r>
  <r>
    <s v="TRX0202"/>
    <d v="2024-05-19T00:00:00"/>
    <s v="CUST035"/>
    <s v="Harry Morgan"/>
    <s v="P010"/>
    <s v="Keyboard"/>
    <s v="Electronics"/>
    <n v="3"/>
    <n v="89.99"/>
    <s v="PayPal"/>
    <x v="0"/>
    <s v="Premium"/>
    <d v="2021-09-24T00:00:00"/>
    <n v="269.97000000000003"/>
    <s v="May"/>
    <n v="2024"/>
    <n v="1695"/>
    <s v="Low Value"/>
  </r>
  <r>
    <s v="TRX0042"/>
    <d v="2024-05-20T00:00:00"/>
    <s v="CUST019"/>
    <s v="Daniel King"/>
    <s v="P004"/>
    <s v="Coffee Maker"/>
    <s v="Appliances"/>
    <n v="1"/>
    <n v="79.989999999999995"/>
    <s v="Cash"/>
    <x v="2"/>
    <s v="Standard"/>
    <d v="2021-09-25T00:00:00"/>
    <n v="79.989999999999995"/>
    <s v="May"/>
    <n v="2024"/>
    <n v="1694"/>
    <s v="Low Value"/>
  </r>
  <r>
    <s v="TRX0128"/>
    <d v="2024-05-21T00:00:00"/>
    <s v="CUST040"/>
    <s v="Sharon Butler"/>
    <s v="P005"/>
    <s v="Blender"/>
    <s v="Appliances"/>
    <n v="2"/>
    <n v="59.99"/>
    <s v="Cash"/>
    <x v="3"/>
    <s v="Basic"/>
    <d v="2021-09-26T00:00:00"/>
    <n v="119.98"/>
    <s v="May"/>
    <n v="2024"/>
    <n v="1693"/>
    <s v="Low Value"/>
  </r>
  <r>
    <s v="TRX0117"/>
    <d v="2024-05-22T00:00:00"/>
    <s v="CUST017"/>
    <s v="Charles Allen"/>
    <s v="P010"/>
    <s v="Keyboard"/>
    <s v="Electronics"/>
    <n v="1"/>
    <n v="89.99"/>
    <s v="Cash"/>
    <x v="2"/>
    <s v="Basic"/>
    <d v="2021-09-27T00:00:00"/>
    <n v="89.99"/>
    <s v="May"/>
    <n v="2024"/>
    <n v="1692"/>
    <s v="Low Value"/>
  </r>
  <r>
    <s v="TRX0208"/>
    <d v="2024-05-23T00:00:00"/>
    <s v="CUST004"/>
    <s v="Sarah Davis"/>
    <s v="P010"/>
    <s v="Keyboard"/>
    <s v="Electronics"/>
    <n v="5"/>
    <n v="89.99"/>
    <s v="Credit Card"/>
    <x v="4"/>
    <s v="Standard"/>
    <d v="2021-09-28T00:00:00"/>
    <n v="449.95"/>
    <s v="May"/>
    <n v="2024"/>
    <n v="1691"/>
    <s v="Low Value"/>
  </r>
  <r>
    <s v="TRX0234"/>
    <d v="2024-05-24T00:00:00"/>
    <s v="CUST013"/>
    <s v="Joseph Jackson"/>
    <s v="P009"/>
    <s v="Monitor"/>
    <s v="Electronics"/>
    <n v="5"/>
    <n v="249.99"/>
    <s v="Credit Card"/>
    <x v="4"/>
    <s v="Standard"/>
    <d v="2021-09-29T00:00:00"/>
    <n v="1249.95"/>
    <s v="May"/>
    <n v="2024"/>
    <n v="1690"/>
    <s v="High Value"/>
  </r>
  <r>
    <s v="TRX0121"/>
    <d v="2024-05-25T00:00:00"/>
    <s v="CUST028"/>
    <s v="Betty Campbell"/>
    <s v="P010"/>
    <s v="Keyboard"/>
    <s v="Electronics"/>
    <n v="1"/>
    <n v="89.99"/>
    <s v="Credit Card"/>
    <x v="1"/>
    <s v="Standard"/>
    <d v="2021-09-30T00:00:00"/>
    <n v="89.99"/>
    <s v="May"/>
    <n v="2024"/>
    <n v="1689"/>
    <s v="Low Value"/>
  </r>
  <r>
    <s v="TRX0220"/>
    <d v="2024-05-26T00:00:00"/>
    <s v="CUST003"/>
    <s v="Michael Brown"/>
    <s v="P008"/>
    <s v="Bookshelf"/>
    <s v="Furniture"/>
    <n v="2"/>
    <n v="149.99"/>
    <s v="Cash"/>
    <x v="4"/>
    <s v="Premium"/>
    <d v="2021-10-01T00:00:00"/>
    <n v="299.98"/>
    <s v="May"/>
    <n v="2024"/>
    <n v="1688"/>
    <s v="Low Value"/>
  </r>
  <r>
    <s v="TRX0093"/>
    <d v="2024-05-27T00:00:00"/>
    <s v="CUST050"/>
    <s v="Julie Foster"/>
    <s v="P005"/>
    <s v="Blender"/>
    <s v="Appliances"/>
    <n v="4"/>
    <n v="59.99"/>
    <s v="Cash"/>
    <x v="4"/>
    <s v="Standard"/>
    <d v="2021-10-02T00:00:00"/>
    <n v="239.96"/>
    <s v="May"/>
    <n v="2024"/>
    <n v="1687"/>
    <s v="Low Value"/>
  </r>
  <r>
    <s v="TRX0088"/>
    <d v="2024-05-28T00:00:00"/>
    <s v="CUST006"/>
    <s v="Lisa Anderson"/>
    <s v="P010"/>
    <s v="Keyboard"/>
    <s v="Electronics"/>
    <n v="5"/>
    <n v="89.99"/>
    <s v="Cash"/>
    <x v="0"/>
    <s v="Premium"/>
    <d v="2021-10-03T00:00:00"/>
    <n v="449.95"/>
    <s v="May"/>
    <n v="2024"/>
    <n v="1686"/>
    <s v="Low Value"/>
  </r>
  <r>
    <s v="TRX0115"/>
    <d v="2024-05-29T00:00:00"/>
    <s v="CUST012"/>
    <s v="Patricia Moore"/>
    <s v="P010"/>
    <s v="Keyboard"/>
    <s v="Electronics"/>
    <n v="2"/>
    <n v="89.99"/>
    <s v="Credit Card"/>
    <x v="1"/>
    <s v="Premium"/>
    <d v="2021-10-04T00:00:00"/>
    <n v="179.98"/>
    <s v="May"/>
    <n v="2024"/>
    <n v="1685"/>
    <s v="Low Value"/>
  </r>
  <r>
    <s v="TRX0154"/>
    <d v="2024-05-30T00:00:00"/>
    <s v="CUST023"/>
    <s v="Paul Baker"/>
    <s v="P001"/>
    <s v="Laptop"/>
    <s v="Electronics"/>
    <n v="5"/>
    <n v="899.99"/>
    <s v="Credit Card"/>
    <x v="1"/>
    <s v="Standard"/>
    <d v="2021-10-05T00:00:00"/>
    <n v="4499.95"/>
    <s v="May"/>
    <n v="2024"/>
    <n v="1684"/>
    <s v="VIP Customer"/>
  </r>
  <r>
    <s v="TRX0044"/>
    <d v="2024-05-31T00:00:00"/>
    <s v="CUST029"/>
    <s v="Edward Mitchell"/>
    <s v="P001"/>
    <s v="Laptop"/>
    <s v="Electronics"/>
    <n v="5"/>
    <n v="899.99"/>
    <s v="PayPal"/>
    <x v="4"/>
    <s v="Premium"/>
    <d v="2021-10-06T00:00:00"/>
    <n v="4499.95"/>
    <s v="May"/>
    <n v="2024"/>
    <n v="1683"/>
    <s v="VIP Customer"/>
  </r>
  <r>
    <s v="TRX0061"/>
    <d v="2024-06-01T00:00:00"/>
    <s v="CUST028"/>
    <s v="Betty Campbell"/>
    <s v="P005"/>
    <s v="Blender"/>
    <s v="Appliances"/>
    <n v="1"/>
    <n v="59.99"/>
    <s v="Debit Card"/>
    <x v="3"/>
    <s v="Premium"/>
    <d v="2021-10-07T00:00:00"/>
    <n v="59.99"/>
    <s v="Jun"/>
    <n v="2024"/>
    <n v="1682"/>
    <s v="Low Value"/>
  </r>
  <r>
    <s v="TRX0150"/>
    <d v="2024-06-02T00:00:00"/>
    <s v="CUST008"/>
    <s v="Jennifer Taylor"/>
    <s v="P007"/>
    <s v="Desk"/>
    <s v="Furniture"/>
    <n v="2"/>
    <n v="299.99"/>
    <s v="Debit Card"/>
    <x v="4"/>
    <s v="Standard"/>
    <d v="2021-10-08T00:00:00"/>
    <n v="599.98"/>
    <s v="Jun"/>
    <n v="2024"/>
    <n v="1681"/>
    <s v="Medium Value"/>
  </r>
  <r>
    <s v="TRX0025"/>
    <d v="2024-06-03T00:00:00"/>
    <s v="CUST049"/>
    <s v="Raymond Ross"/>
    <s v="P010"/>
    <s v="Keyboard"/>
    <s v="Electronics"/>
    <n v="4"/>
    <n v="89.99"/>
    <s v="Debit Card"/>
    <x v="1"/>
    <s v="Basic"/>
    <d v="2021-10-09T00:00:00"/>
    <n v="359.96"/>
    <s v="Jun"/>
    <n v="2024"/>
    <n v="1680"/>
    <s v="Low Value"/>
  </r>
  <r>
    <s v="TRX0078"/>
    <d v="2024-06-04T00:00:00"/>
    <s v="CUST021"/>
    <s v="Kevin Scott"/>
    <s v="P004"/>
    <s v="Coffee Maker"/>
    <s v="Appliances"/>
    <n v="1"/>
    <n v="79.989999999999995"/>
    <s v="PayPal"/>
    <x v="0"/>
    <s v="Premium"/>
    <d v="2021-10-10T00:00:00"/>
    <n v="79.989999999999995"/>
    <s v="Jun"/>
    <n v="2024"/>
    <n v="1679"/>
    <s v="Low Value"/>
  </r>
  <r>
    <s v="TRX0007"/>
    <d v="2024-06-05T00:00:00"/>
    <s v="CUST009"/>
    <s v="Robert Thomas"/>
    <s v="P010"/>
    <s v="Keyboard"/>
    <s v="Electronics"/>
    <n v="2"/>
    <n v="89.99"/>
    <s v="Cash"/>
    <x v="3"/>
    <s v="Basic"/>
    <d v="2021-10-11T00:00:00"/>
    <n v="179.98"/>
    <s v="Jun"/>
    <n v="2024"/>
    <n v="1678"/>
    <s v="Low Value"/>
  </r>
  <r>
    <s v="TRX0184"/>
    <d v="2024-06-06T00:00:00"/>
    <s v="CUST046"/>
    <s v="Kathleen Bennett"/>
    <s v="P002"/>
    <s v="Smartphone"/>
    <s v="Electronics"/>
    <n v="3"/>
    <n v="699.99"/>
    <s v="Credit Card"/>
    <x v="4"/>
    <s v="Premium"/>
    <d v="2021-10-12T00:00:00"/>
    <n v="2099.9699999999998"/>
    <s v="Jun"/>
    <n v="2024"/>
    <n v="1677"/>
    <s v="VIP Customer"/>
  </r>
  <r>
    <s v="TRX0104"/>
    <d v="2024-06-07T00:00:00"/>
    <s v="CUST012"/>
    <s v="Patricia Moore"/>
    <s v="P001"/>
    <s v="Laptop"/>
    <s v="Electronics"/>
    <n v="4"/>
    <n v="899.99"/>
    <s v="Credit Card"/>
    <x v="4"/>
    <s v="Premium"/>
    <d v="2021-10-13T00:00:00"/>
    <n v="3599.96"/>
    <s v="Jun"/>
    <n v="2024"/>
    <n v="1676"/>
    <s v="VIP Customer"/>
  </r>
  <r>
    <s v="TRX0127"/>
    <d v="2024-06-08T00:00:00"/>
    <s v="CUST030"/>
    <s v="Helen Roberts"/>
    <s v="P008"/>
    <s v="Bookshelf"/>
    <s v="Furniture"/>
    <n v="1"/>
    <n v="149.99"/>
    <s v="PayPal"/>
    <x v="4"/>
    <s v="Basic"/>
    <d v="2021-10-14T00:00:00"/>
    <n v="149.99"/>
    <s v="Jun"/>
    <n v="2024"/>
    <n v="1675"/>
    <s v="Low Value"/>
  </r>
  <r>
    <s v="TRX0096"/>
    <d v="2024-06-09T00:00:00"/>
    <s v="CUST002"/>
    <s v="Emma Wilson"/>
    <s v="P010"/>
    <s v="Keyboard"/>
    <s v="Electronics"/>
    <n v="2"/>
    <n v="89.99"/>
    <s v="PayPal"/>
    <x v="0"/>
    <s v="Premium"/>
    <d v="2021-10-15T00:00:00"/>
    <n v="179.98"/>
    <s v="Jun"/>
    <n v="2024"/>
    <n v="1674"/>
    <s v="Low Value"/>
  </r>
  <r>
    <s v="TRX0192"/>
    <d v="2024-06-10T00:00:00"/>
    <s v="CUST017"/>
    <s v="Charles Allen"/>
    <s v="P010"/>
    <s v="Keyboard"/>
    <s v="Electronics"/>
    <n v="1"/>
    <n v="89.99"/>
    <s v="PayPal"/>
    <x v="3"/>
    <s v="Standard"/>
    <d v="2021-10-16T00:00:00"/>
    <n v="89.99"/>
    <s v="Jun"/>
    <n v="2024"/>
    <n v="1673"/>
    <s v="Low Value"/>
  </r>
  <r>
    <s v="TRX0052"/>
    <d v="2024-06-11T00:00:00"/>
    <s v="CUST022"/>
    <s v="Susan Green"/>
    <s v="P010"/>
    <s v="Keyboard"/>
    <s v="Electronics"/>
    <n v="1"/>
    <n v="89.99"/>
    <s v="Cash"/>
    <x v="1"/>
    <s v="Standard"/>
    <d v="2021-10-17T00:00:00"/>
    <n v="89.99"/>
    <s v="Jun"/>
    <n v="2024"/>
    <n v="1672"/>
    <s v="Low Value"/>
  </r>
  <r>
    <s v="TRX0070"/>
    <d v="2024-06-12T00:00:00"/>
    <s v="CUST007"/>
    <s v="David Martinez"/>
    <s v="P004"/>
    <s v="Coffee Maker"/>
    <s v="Appliances"/>
    <n v="5"/>
    <n v="79.989999999999995"/>
    <s v="Debit Card"/>
    <x v="0"/>
    <s v="Basic"/>
    <d v="2021-10-18T00:00:00"/>
    <n v="399.95"/>
    <s v="Jun"/>
    <n v="2024"/>
    <n v="1671"/>
    <s v="Low Value"/>
  </r>
  <r>
    <s v="TRX0086"/>
    <d v="2024-06-13T00:00:00"/>
    <s v="CUST020"/>
    <s v="Margaret Wright"/>
    <s v="P008"/>
    <s v="Bookshelf"/>
    <s v="Furniture"/>
    <n v="1"/>
    <n v="149.99"/>
    <s v="PayPal"/>
    <x v="2"/>
    <s v="Basic"/>
    <d v="2021-10-19T00:00:00"/>
    <n v="149.99"/>
    <s v="Jun"/>
    <n v="2024"/>
    <n v="1670"/>
    <s v="Low Value"/>
  </r>
  <r>
    <s v="TRX0113"/>
    <d v="2024-06-14T00:00:00"/>
    <s v="CUST003"/>
    <s v="Michael Brown"/>
    <s v="P002"/>
    <s v="Smartphone"/>
    <s v="Electronics"/>
    <n v="2"/>
    <n v="699.99"/>
    <s v="PayPal"/>
    <x v="4"/>
    <s v="Premium"/>
    <d v="2021-10-20T00:00:00"/>
    <n v="1399.98"/>
    <s v="Jun"/>
    <n v="2024"/>
    <n v="1669"/>
    <s v="High Value"/>
  </r>
  <r>
    <s v="TRX0114"/>
    <d v="2024-06-15T00:00:00"/>
    <s v="CUST018"/>
    <s v="Barbara Young"/>
    <s v="P010"/>
    <s v="Keyboard"/>
    <s v="Electronics"/>
    <n v="5"/>
    <n v="89.99"/>
    <s v="Debit Card"/>
    <x v="2"/>
    <s v="Premium"/>
    <d v="2021-10-21T00:00:00"/>
    <n v="449.95"/>
    <s v="Jun"/>
    <n v="2024"/>
    <n v="1668"/>
    <s v="Low Value"/>
  </r>
  <r>
    <s v="TRX0136"/>
    <d v="2024-06-16T00:00:00"/>
    <s v="CUST049"/>
    <s v="Raymond Ross"/>
    <s v="P005"/>
    <s v="Blender"/>
    <s v="Appliances"/>
    <n v="4"/>
    <n v="59.99"/>
    <s v="Cash"/>
    <x v="1"/>
    <s v="Standard"/>
    <d v="2021-10-22T00:00:00"/>
    <n v="239.96"/>
    <s v="Jun"/>
    <n v="2024"/>
    <n v="1667"/>
    <s v="Low Value"/>
  </r>
  <r>
    <s v="TRX0018"/>
    <d v="2024-06-17T00:00:00"/>
    <s v="CUST013"/>
    <s v="Joseph Jackson"/>
    <s v="P003"/>
    <s v="Headphones"/>
    <s v="Electronics"/>
    <n v="1"/>
    <n v="149.99"/>
    <s v="Cash"/>
    <x v="0"/>
    <s v="Standard"/>
    <d v="2021-10-23T00:00:00"/>
    <n v="149.99"/>
    <s v="Jun"/>
    <n v="2024"/>
    <n v="1666"/>
    <s v="Low Value"/>
  </r>
  <r>
    <s v="TRX0141"/>
    <d v="2024-06-18T00:00:00"/>
    <s v="CUST033"/>
    <s v="Frank Torres"/>
    <s v="P007"/>
    <s v="Desk"/>
    <s v="Furniture"/>
    <n v="1"/>
    <n v="299.99"/>
    <s v="Credit Card"/>
    <x v="2"/>
    <s v="Premium"/>
    <d v="2021-10-24T00:00:00"/>
    <n v="299.99"/>
    <s v="Jun"/>
    <n v="2024"/>
    <n v="1665"/>
    <s v="Low Value"/>
  </r>
  <r>
    <s v="TRX0097"/>
    <d v="2024-06-19T00:00:00"/>
    <s v="CUST033"/>
    <s v="Frank Torres"/>
    <s v="P006"/>
    <s v="Office Chair"/>
    <s v="Furniture"/>
    <n v="2"/>
    <n v="199.99"/>
    <s v="Cash"/>
    <x v="2"/>
    <s v="Basic"/>
    <d v="2021-10-25T00:00:00"/>
    <n v="399.98"/>
    <s v="Jun"/>
    <n v="2024"/>
    <n v="1664"/>
    <s v="Low Value"/>
  </r>
  <r>
    <s v="TRX0169"/>
    <d v="2024-06-20T00:00:00"/>
    <s v="CUST047"/>
    <s v="Gerald Murphy"/>
    <s v="P005"/>
    <s v="Blender"/>
    <s v="Appliances"/>
    <n v="3"/>
    <n v="59.99"/>
    <s v="Credit Card"/>
    <x v="3"/>
    <s v="Basic"/>
    <d v="2021-10-26T00:00:00"/>
    <n v="179.97"/>
    <s v="Jun"/>
    <n v="2024"/>
    <n v="1663"/>
    <s v="Low Value"/>
  </r>
  <r>
    <s v="TRX0216"/>
    <d v="2024-06-21T00:00:00"/>
    <s v="CUST041"/>
    <s v="Peter Richardson"/>
    <s v="P008"/>
    <s v="Bookshelf"/>
    <s v="Furniture"/>
    <n v="3"/>
    <n v="149.99"/>
    <s v="Cash"/>
    <x v="0"/>
    <s v="Premium"/>
    <d v="2021-10-27T00:00:00"/>
    <n v="449.97"/>
    <s v="Jun"/>
    <n v="2024"/>
    <n v="1662"/>
    <s v="Low Value"/>
  </r>
  <r>
    <s v="TRX0131"/>
    <d v="2024-06-22T00:00:00"/>
    <s v="CUST026"/>
    <s v="Karen Hill"/>
    <s v="P006"/>
    <s v="Office Chair"/>
    <s v="Furniture"/>
    <n v="3"/>
    <n v="199.99"/>
    <s v="Cash"/>
    <x v="2"/>
    <s v="Premium"/>
    <d v="2021-10-28T00:00:00"/>
    <n v="599.97"/>
    <s v="Jun"/>
    <n v="2024"/>
    <n v="1661"/>
    <s v="Medium Value"/>
  </r>
  <r>
    <s v="TRX0162"/>
    <d v="2024-06-23T00:00:00"/>
    <s v="CUST040"/>
    <s v="Sharon Butler"/>
    <s v="P001"/>
    <s v="Laptop"/>
    <s v="Electronics"/>
    <n v="1"/>
    <n v="899.99"/>
    <s v="Cash"/>
    <x v="0"/>
    <s v="Standard"/>
    <d v="2021-10-29T00:00:00"/>
    <n v="899.99"/>
    <s v="Jun"/>
    <n v="2024"/>
    <n v="1660"/>
    <s v="Medium Value"/>
  </r>
  <r>
    <s v="TRX0244"/>
    <d v="2024-06-24T00:00:00"/>
    <s v="CUST013"/>
    <s v="Joseph Jackson"/>
    <s v="P001"/>
    <s v="Laptop"/>
    <s v="Electronics"/>
    <n v="5"/>
    <n v="899.99"/>
    <s v="Debit Card"/>
    <x v="1"/>
    <s v="Standard"/>
    <d v="2021-10-30T00:00:00"/>
    <n v="4499.95"/>
    <s v="Jun"/>
    <n v="2024"/>
    <n v="1659"/>
    <s v="VIP Customer"/>
  </r>
  <r>
    <s v="TRX0006"/>
    <d v="2024-06-25T00:00:00"/>
    <s v="CUST007"/>
    <s v="David Martinez"/>
    <s v="P005"/>
    <s v="Blender"/>
    <s v="Appliances"/>
    <n v="2"/>
    <n v="59.99"/>
    <s v="Cash"/>
    <x v="2"/>
    <s v="Standard"/>
    <d v="2021-10-31T00:00:00"/>
    <n v="119.98"/>
    <s v="Jun"/>
    <n v="2024"/>
    <n v="1658"/>
    <s v="Low Value"/>
  </r>
  <r>
    <s v="TRX0215"/>
    <d v="2024-06-26T00:00:00"/>
    <s v="CUST047"/>
    <s v="Gerald Murphy"/>
    <s v="P009"/>
    <s v="Monitor"/>
    <s v="Electronics"/>
    <n v="4"/>
    <n v="249.99"/>
    <s v="Debit Card"/>
    <x v="0"/>
    <s v="Standard"/>
    <d v="2021-11-01T00:00:00"/>
    <n v="999.96"/>
    <s v="Jun"/>
    <n v="2024"/>
    <n v="1657"/>
    <s v="Medium Value"/>
  </r>
  <r>
    <s v="TRX0080"/>
    <d v="2024-06-27T00:00:00"/>
    <s v="CUST018"/>
    <s v="Barbara Young"/>
    <s v="P009"/>
    <s v="Monitor"/>
    <s v="Electronics"/>
    <n v="2"/>
    <n v="249.99"/>
    <s v="Cash"/>
    <x v="2"/>
    <s v="Premium"/>
    <d v="2021-11-02T00:00:00"/>
    <n v="499.98"/>
    <s v="Jun"/>
    <n v="2024"/>
    <n v="1656"/>
    <s v="Low Value"/>
  </r>
  <r>
    <s v="TRX0228"/>
    <d v="2024-06-28T00:00:00"/>
    <s v="CUST019"/>
    <s v="Daniel King"/>
    <s v="P007"/>
    <s v="Desk"/>
    <s v="Furniture"/>
    <n v="1"/>
    <n v="299.99"/>
    <s v="Cash"/>
    <x v="1"/>
    <s v="Basic"/>
    <d v="2021-11-03T00:00:00"/>
    <n v="299.99"/>
    <s v="Jun"/>
    <n v="2024"/>
    <n v="1655"/>
    <s v="Low Value"/>
  </r>
  <r>
    <s v="TRX0157"/>
    <d v="2024-06-29T00:00:00"/>
    <s v="CUST025"/>
    <s v="Mark Carter"/>
    <s v="P010"/>
    <s v="Keyboard"/>
    <s v="Electronics"/>
    <n v="2"/>
    <n v="89.99"/>
    <s v="PayPal"/>
    <x v="1"/>
    <s v="Basic"/>
    <d v="2021-11-04T00:00:00"/>
    <n v="179.98"/>
    <s v="Jun"/>
    <n v="2024"/>
    <n v="1654"/>
    <s v="Low Value"/>
  </r>
  <r>
    <s v="TRX0002"/>
    <d v="2024-06-30T00:00:00"/>
    <s v="CUST019"/>
    <s v="Daniel King"/>
    <s v="P007"/>
    <s v="Desk"/>
    <s v="Furniture"/>
    <n v="3"/>
    <n v="299.99"/>
    <s v="Cash"/>
    <x v="0"/>
    <s v="Basic"/>
    <d v="2021-11-05T00:00:00"/>
    <n v="899.97"/>
    <s v="Jun"/>
    <n v="2024"/>
    <n v="1653"/>
    <s v="Medium Value"/>
  </r>
  <r>
    <s v="TRX0217"/>
    <d v="2024-07-01T00:00:00"/>
    <s v="CUST025"/>
    <s v="Mark Carter"/>
    <s v="P002"/>
    <s v="Smartphone"/>
    <s v="Electronics"/>
    <n v="2"/>
    <n v="699.99"/>
    <s v="Credit Card"/>
    <x v="2"/>
    <s v="Premium"/>
    <d v="2021-11-06T00:00:00"/>
    <n v="1399.98"/>
    <s v="Jul"/>
    <n v="2024"/>
    <n v="1652"/>
    <s v="High Value"/>
  </r>
  <r>
    <s v="TRX0249"/>
    <d v="2024-07-02T00:00:00"/>
    <s v="CUST030"/>
    <s v="Helen Roberts"/>
    <s v="P001"/>
    <s v="Laptop"/>
    <s v="Electronics"/>
    <n v="4"/>
    <n v="899.99"/>
    <s v="Debit Card"/>
    <x v="1"/>
    <s v="Standard"/>
    <d v="2021-11-07T00:00:00"/>
    <n v="3599.96"/>
    <s v="Jul"/>
    <n v="2024"/>
    <n v="1651"/>
    <s v="VIP Customer"/>
  </r>
  <r>
    <s v="TRX0065"/>
    <d v="2024-07-03T00:00:00"/>
    <s v="CUST016"/>
    <s v="Elizabeth Hall"/>
    <s v="P008"/>
    <s v="Bookshelf"/>
    <s v="Furniture"/>
    <n v="2"/>
    <n v="149.99"/>
    <s v="Credit Card"/>
    <x v="3"/>
    <s v="Basic"/>
    <d v="2021-11-08T00:00:00"/>
    <n v="299.98"/>
    <s v="Jul"/>
    <n v="2024"/>
    <n v="1650"/>
    <s v="Low Value"/>
  </r>
  <r>
    <s v="TRX0176"/>
    <d v="2024-07-04T00:00:00"/>
    <s v="CUST044"/>
    <s v="Cynthia Price"/>
    <s v="P008"/>
    <s v="Bookshelf"/>
    <s v="Furniture"/>
    <n v="2"/>
    <n v="149.99"/>
    <s v="Debit Card"/>
    <x v="4"/>
    <s v="Standard"/>
    <d v="2021-11-09T00:00:00"/>
    <n v="299.98"/>
    <s v="Jul"/>
    <n v="2024"/>
    <n v="1649"/>
    <s v="Low Value"/>
  </r>
  <r>
    <s v="TRX0101"/>
    <d v="2024-07-05T00:00:00"/>
    <s v="CUST010"/>
    <s v="Maria Garcia"/>
    <s v="P010"/>
    <s v="Keyboard"/>
    <s v="Electronics"/>
    <n v="1"/>
    <n v="89.99"/>
    <s v="Credit Card"/>
    <x v="2"/>
    <s v="Standard"/>
    <d v="2021-11-10T00:00:00"/>
    <n v="89.99"/>
    <s v="Jul"/>
    <n v="2024"/>
    <n v="1648"/>
    <s v="Low Value"/>
  </r>
  <r>
    <s v="TRX0205"/>
    <d v="2024-07-06T00:00:00"/>
    <s v="CUST025"/>
    <s v="Mark Carter"/>
    <s v="P007"/>
    <s v="Desk"/>
    <s v="Furniture"/>
    <n v="5"/>
    <n v="299.99"/>
    <s v="Credit Card"/>
    <x v="2"/>
    <s v="Basic"/>
    <d v="2021-11-11T00:00:00"/>
    <n v="1499.95"/>
    <s v="Jul"/>
    <n v="2024"/>
    <n v="1647"/>
    <s v="High Value"/>
  </r>
  <r>
    <s v="TRX0020"/>
    <d v="2024-07-07T00:00:00"/>
    <s v="CUST007"/>
    <s v="David Martinez"/>
    <s v="P003"/>
    <s v="Headphones"/>
    <s v="Electronics"/>
    <n v="4"/>
    <n v="149.99"/>
    <s v="Debit Card"/>
    <x v="1"/>
    <s v="Premium"/>
    <d v="2021-11-12T00:00:00"/>
    <n v="599.96"/>
    <s v="Jul"/>
    <n v="2024"/>
    <n v="1646"/>
    <s v="Medium Value"/>
  </r>
  <r>
    <s v="TRX0075"/>
    <d v="2024-07-08T00:00:00"/>
    <s v="CUST020"/>
    <s v="Margaret Wright"/>
    <s v="P009"/>
    <s v="Monitor"/>
    <s v="Electronics"/>
    <n v="5"/>
    <n v="249.99"/>
    <s v="PayPal"/>
    <x v="4"/>
    <s v="Premium"/>
    <d v="2021-11-13T00:00:00"/>
    <n v="1249.95"/>
    <s v="Jul"/>
    <n v="2024"/>
    <n v="1645"/>
    <s v="High Value"/>
  </r>
  <r>
    <s v="TRX0098"/>
    <d v="2024-07-09T00:00:00"/>
    <s v="CUST026"/>
    <s v="Karen Hill"/>
    <s v="P009"/>
    <s v="Monitor"/>
    <s v="Electronics"/>
    <n v="3"/>
    <n v="249.99"/>
    <s v="PayPal"/>
    <x v="2"/>
    <s v="Premium"/>
    <d v="2021-11-14T00:00:00"/>
    <n v="749.97"/>
    <s v="Jul"/>
    <n v="2024"/>
    <n v="1644"/>
    <s v="Medium Value"/>
  </r>
  <r>
    <s v="TRX0247"/>
    <d v="2024-07-10T00:00:00"/>
    <s v="CUST046"/>
    <s v="Kathleen Bennett"/>
    <s v="P006"/>
    <s v="Office Chair"/>
    <s v="Furniture"/>
    <n v="4"/>
    <n v="199.99"/>
    <s v="Cash"/>
    <x v="2"/>
    <s v="Standard"/>
    <d v="2021-11-15T00:00:00"/>
    <n v="799.96"/>
    <s v="Jul"/>
    <n v="2024"/>
    <n v="1643"/>
    <s v="Medium Value"/>
  </r>
  <r>
    <s v="TRX0027"/>
    <d v="2024-07-11T00:00:00"/>
    <s v="CUST028"/>
    <s v="Betty Campbell"/>
    <s v="P006"/>
    <s v="Office Chair"/>
    <s v="Furniture"/>
    <n v="5"/>
    <n v="199.99"/>
    <s v="Cash"/>
    <x v="2"/>
    <s v="Premium"/>
    <d v="2021-11-16T00:00:00"/>
    <n v="999.95"/>
    <s v="Jul"/>
    <n v="2024"/>
    <n v="1642"/>
    <s v="Medium Value"/>
  </r>
  <r>
    <s v="TRX0140"/>
    <d v="2024-07-12T00:00:00"/>
    <s v="CUST025"/>
    <s v="Mark Carter"/>
    <s v="P010"/>
    <s v="Keyboard"/>
    <s v="Electronics"/>
    <n v="2"/>
    <n v="89.99"/>
    <s v="Cash"/>
    <x v="4"/>
    <s v="Premium"/>
    <d v="2021-11-17T00:00:00"/>
    <n v="179.98"/>
    <s v="Jul"/>
    <n v="2024"/>
    <n v="1641"/>
    <s v="Low Value"/>
  </r>
  <r>
    <s v="TRX0132"/>
    <d v="2024-07-13T00:00:00"/>
    <s v="CUST047"/>
    <s v="Gerald Murphy"/>
    <s v="P001"/>
    <s v="Laptop"/>
    <s v="Electronics"/>
    <n v="5"/>
    <n v="899.99"/>
    <s v="Debit Card"/>
    <x v="4"/>
    <s v="Basic"/>
    <d v="2021-11-18T00:00:00"/>
    <n v="4499.95"/>
    <s v="Jul"/>
    <n v="2024"/>
    <n v="1640"/>
    <s v="VIP Customer"/>
  </r>
  <r>
    <s v="TRX0031"/>
    <d v="2024-07-14T00:00:00"/>
    <s v="CUST036"/>
    <s v="Nancy Collins"/>
    <s v="P003"/>
    <s v="Headphones"/>
    <s v="Electronics"/>
    <n v="3"/>
    <n v="149.99"/>
    <s v="PayPal"/>
    <x v="4"/>
    <s v="Basic"/>
    <d v="2021-11-19T00:00:00"/>
    <n v="449.97"/>
    <s v="Jul"/>
    <n v="2024"/>
    <n v="1639"/>
    <s v="Low Value"/>
  </r>
  <r>
    <s v="TRX0236"/>
    <d v="2024-07-15T00:00:00"/>
    <s v="CUST044"/>
    <s v="Cynthia Price"/>
    <s v="P008"/>
    <s v="Bookshelf"/>
    <s v="Furniture"/>
    <n v="5"/>
    <n v="149.99"/>
    <s v="Credit Card"/>
    <x v="0"/>
    <s v="Basic"/>
    <d v="2021-11-20T00:00:00"/>
    <n v="749.95"/>
    <s v="Jul"/>
    <n v="2024"/>
    <n v="1638"/>
    <s v="Medium Value"/>
  </r>
  <r>
    <s v="TRX0001"/>
    <d v="2024-07-16T00:00:00"/>
    <s v="CUST039"/>
    <s v="Lawrence Reed"/>
    <s v="P004"/>
    <s v="Coffee Maker"/>
    <s v="Appliances"/>
    <n v="3"/>
    <n v="79.989999999999995"/>
    <s v="Cash"/>
    <x v="0"/>
    <s v="Premium"/>
    <d v="2021-11-21T00:00:00"/>
    <n v="239.97"/>
    <s v="Jul"/>
    <n v="2024"/>
    <n v="1637"/>
    <s v="Low Value"/>
  </r>
  <r>
    <s v="TRX0037"/>
    <d v="2024-07-17T00:00:00"/>
    <s v="CUST035"/>
    <s v="Harry Morgan"/>
    <s v="P009"/>
    <s v="Monitor"/>
    <s v="Electronics"/>
    <n v="2"/>
    <n v="249.99"/>
    <s v="Cash"/>
    <x v="1"/>
    <s v="Standard"/>
    <d v="2021-11-22T00:00:00"/>
    <n v="499.98"/>
    <s v="Jul"/>
    <n v="2024"/>
    <n v="1636"/>
    <s v="Low Value"/>
  </r>
  <r>
    <s v="TRX0058"/>
    <d v="2024-07-18T00:00:00"/>
    <s v="CUST047"/>
    <s v="Gerald Murphy"/>
    <s v="P002"/>
    <s v="Smartphone"/>
    <s v="Electronics"/>
    <n v="1"/>
    <n v="699.99"/>
    <s v="Cash"/>
    <x v="0"/>
    <s v="Premium"/>
    <d v="2021-11-23T00:00:00"/>
    <n v="699.99"/>
    <s v="Jul"/>
    <n v="2024"/>
    <n v="1635"/>
    <s v="Medium Value"/>
  </r>
  <r>
    <s v="TRX0170"/>
    <d v="2024-07-19T00:00:00"/>
    <s v="CUST034"/>
    <s v="Carol Evans"/>
    <s v="P003"/>
    <s v="Headphones"/>
    <s v="Electronics"/>
    <n v="3"/>
    <n v="149.99"/>
    <s v="Cash"/>
    <x v="3"/>
    <s v="Premium"/>
    <d v="2021-11-24T00:00:00"/>
    <n v="449.97"/>
    <s v="Jul"/>
    <n v="2024"/>
    <n v="1634"/>
    <s v="Low Value"/>
  </r>
  <r>
    <s v="TRX0248"/>
    <d v="2024-07-20T00:00:00"/>
    <s v="CUST032"/>
    <s v="Sandra Phillips"/>
    <s v="P002"/>
    <s v="Smartphone"/>
    <s v="Electronics"/>
    <n v="2"/>
    <n v="699.99"/>
    <s v="Credit Card"/>
    <x v="2"/>
    <s v="Premium"/>
    <d v="2021-11-25T00:00:00"/>
    <n v="1399.98"/>
    <s v="Jul"/>
    <n v="2024"/>
    <n v="1633"/>
    <s v="High Value"/>
  </r>
  <r>
    <s v="TRX0099"/>
    <d v="2024-07-21T00:00:00"/>
    <s v="CUST034"/>
    <s v="Carol Evans"/>
    <s v="P009"/>
    <s v="Monitor"/>
    <s v="Electronics"/>
    <n v="1"/>
    <n v="249.99"/>
    <s v="Credit Card"/>
    <x v="3"/>
    <s v="Premium"/>
    <d v="2021-11-26T00:00:00"/>
    <n v="249.99"/>
    <s v="Jul"/>
    <n v="2024"/>
    <n v="1632"/>
    <s v="Low Value"/>
  </r>
  <r>
    <s v="TRX0074"/>
    <d v="2024-07-22T00:00:00"/>
    <s v="CUST023"/>
    <s v="Paul Baker"/>
    <s v="P009"/>
    <s v="Monitor"/>
    <s v="Electronics"/>
    <n v="1"/>
    <n v="249.99"/>
    <s v="Debit Card"/>
    <x v="2"/>
    <s v="Premium"/>
    <d v="2021-11-27T00:00:00"/>
    <n v="249.99"/>
    <s v="Jul"/>
    <n v="2024"/>
    <n v="1631"/>
    <s v="Low Value"/>
  </r>
  <r>
    <s v="TRX0225"/>
    <d v="2024-07-23T00:00:00"/>
    <s v="CUST039"/>
    <s v="Lawrence Reed"/>
    <s v="P002"/>
    <s v="Smartphone"/>
    <s v="Electronics"/>
    <n v="2"/>
    <n v="699.99"/>
    <s v="Debit Card"/>
    <x v="0"/>
    <s v="Premium"/>
    <d v="2021-11-28T00:00:00"/>
    <n v="1399.98"/>
    <s v="Jul"/>
    <n v="2024"/>
    <n v="1630"/>
    <s v="High Value"/>
  </r>
  <r>
    <s v="TRX0100"/>
    <d v="2024-07-24T00:00:00"/>
    <s v="CUST031"/>
    <s v="Steven Turner"/>
    <s v="P005"/>
    <s v="Blender"/>
    <s v="Appliances"/>
    <n v="3"/>
    <n v="59.99"/>
    <s v="Credit Card"/>
    <x v="0"/>
    <s v="Premium"/>
    <d v="2021-11-29T00:00:00"/>
    <n v="179.97"/>
    <s v="Jul"/>
    <n v="2024"/>
    <n v="1629"/>
    <s v="Low Value"/>
  </r>
  <r>
    <s v="TRX0142"/>
    <d v="2024-07-25T00:00:00"/>
    <s v="CUST002"/>
    <s v="Emma Wilson"/>
    <s v="P005"/>
    <s v="Blender"/>
    <s v="Appliances"/>
    <n v="3"/>
    <n v="59.99"/>
    <s v="PayPal"/>
    <x v="4"/>
    <s v="Standard"/>
    <d v="2021-11-30T00:00:00"/>
    <n v="179.97"/>
    <s v="Jul"/>
    <n v="2024"/>
    <n v="1628"/>
    <s v="Low Value"/>
  </r>
  <r>
    <s v="TRX0112"/>
    <d v="2024-07-26T00:00:00"/>
    <s v="CUST008"/>
    <s v="Jennifer Taylor"/>
    <s v="P004"/>
    <s v="Coffee Maker"/>
    <s v="Appliances"/>
    <n v="4"/>
    <n v="79.989999999999995"/>
    <s v="Cash"/>
    <x v="2"/>
    <s v="Basic"/>
    <d v="2021-12-01T00:00:00"/>
    <n v="319.95999999999998"/>
    <s v="Jul"/>
    <n v="2024"/>
    <n v="1627"/>
    <s v="Low Value"/>
  </r>
  <r>
    <s v="TRX0161"/>
    <d v="2024-07-27T00:00:00"/>
    <s v="CUST017"/>
    <s v="Charles Allen"/>
    <s v="P004"/>
    <s v="Coffee Maker"/>
    <s v="Appliances"/>
    <n v="1"/>
    <n v="79.989999999999995"/>
    <s v="Cash"/>
    <x v="3"/>
    <s v="Basic"/>
    <d v="2021-12-02T00:00:00"/>
    <n v="79.989999999999995"/>
    <s v="Jul"/>
    <n v="2024"/>
    <n v="1626"/>
    <s v="Low Value"/>
  </r>
  <r>
    <s v="TRX0108"/>
    <d v="2024-07-28T00:00:00"/>
    <s v="CUST024"/>
    <s v="Dorothy Nelson"/>
    <s v="P007"/>
    <s v="Desk"/>
    <s v="Furniture"/>
    <n v="3"/>
    <n v="299.99"/>
    <s v="Credit Card"/>
    <x v="0"/>
    <s v="Premium"/>
    <d v="2021-12-03T00:00:00"/>
    <n v="899.97"/>
    <s v="Jul"/>
    <n v="2024"/>
    <n v="1625"/>
    <s v="Medium Value"/>
  </r>
  <r>
    <s v="TRX0211"/>
    <d v="2024-07-29T00:00:00"/>
    <s v="CUST046"/>
    <s v="Kathleen Bennett"/>
    <s v="P010"/>
    <s v="Keyboard"/>
    <s v="Electronics"/>
    <n v="2"/>
    <n v="89.99"/>
    <s v="Credit Card"/>
    <x v="1"/>
    <s v="Premium"/>
    <d v="2021-12-04T00:00:00"/>
    <n v="179.98"/>
    <s v="Jul"/>
    <n v="2024"/>
    <n v="1624"/>
    <s v="Low Value"/>
  </r>
  <r>
    <s v="TRX0005"/>
    <d v="2024-07-30T00:00:00"/>
    <s v="CUST042"/>
    <s v="Ruth Brooks"/>
    <s v="P003"/>
    <s v="Headphones"/>
    <s v="Electronics"/>
    <n v="4"/>
    <n v="149.99"/>
    <s v="Cash"/>
    <x v="2"/>
    <s v="Basic"/>
    <d v="2021-12-05T00:00:00"/>
    <n v="599.96"/>
    <s v="Jul"/>
    <n v="2024"/>
    <n v="1623"/>
    <s v="Medium Value"/>
  </r>
  <r>
    <s v="TRX0195"/>
    <d v="2024-07-31T00:00:00"/>
    <s v="CUST026"/>
    <s v="Karen Hill"/>
    <s v="P009"/>
    <s v="Monitor"/>
    <s v="Electronics"/>
    <n v="2"/>
    <n v="249.99"/>
    <s v="PayPal"/>
    <x v="1"/>
    <s v="Basic"/>
    <d v="2021-12-06T00:00:00"/>
    <n v="499.98"/>
    <s v="Jul"/>
    <n v="2024"/>
    <n v="1622"/>
    <s v="Low Value"/>
  </r>
  <r>
    <s v="TRX0054"/>
    <d v="2024-08-01T00:00:00"/>
    <s v="CUST004"/>
    <s v="Sarah Davis"/>
    <s v="P006"/>
    <s v="Office Chair"/>
    <s v="Furniture"/>
    <n v="4"/>
    <n v="199.99"/>
    <s v="Debit Card"/>
    <x v="4"/>
    <s v="Basic"/>
    <d v="2021-12-07T00:00:00"/>
    <n v="799.96"/>
    <s v="Aug"/>
    <n v="2024"/>
    <n v="1621"/>
    <s v="Medium Value"/>
  </r>
  <r>
    <s v="TRX0077"/>
    <d v="2024-08-02T00:00:00"/>
    <s v="CUST019"/>
    <s v="Daniel King"/>
    <s v="P010"/>
    <s v="Keyboard"/>
    <s v="Electronics"/>
    <n v="5"/>
    <n v="89.99"/>
    <s v="Credit Card"/>
    <x v="4"/>
    <s v="Premium"/>
    <d v="2021-12-08T00:00:00"/>
    <n v="449.95"/>
    <s v="Aug"/>
    <n v="2024"/>
    <n v="1620"/>
    <s v="Low Value"/>
  </r>
  <r>
    <s v="TRX0111"/>
    <d v="2024-08-03T00:00:00"/>
    <s v="CUST011"/>
    <s v="William White"/>
    <s v="P003"/>
    <s v="Headphones"/>
    <s v="Electronics"/>
    <n v="1"/>
    <n v="149.99"/>
    <s v="PayPal"/>
    <x v="4"/>
    <s v="Standard"/>
    <d v="2021-12-09T00:00:00"/>
    <n v="149.99"/>
    <s v="Aug"/>
    <n v="2024"/>
    <n v="1619"/>
    <s v="Low Value"/>
  </r>
  <r>
    <s v="TRX0123"/>
    <d v="2024-08-04T00:00:00"/>
    <s v="CUST041"/>
    <s v="Peter Richardson"/>
    <s v="P002"/>
    <s v="Smartphone"/>
    <s v="Electronics"/>
    <n v="4"/>
    <n v="699.99"/>
    <s v="PayPal"/>
    <x v="1"/>
    <s v="Basic"/>
    <d v="2021-12-10T00:00:00"/>
    <n v="2799.96"/>
    <s v="Aug"/>
    <n v="2024"/>
    <n v="1618"/>
    <s v="VIP Customer"/>
  </r>
  <r>
    <s v="TRX0177"/>
    <d v="2024-08-05T00:00:00"/>
    <s v="CUST032"/>
    <s v="Sandra Phillips"/>
    <s v="P001"/>
    <s v="Laptop"/>
    <s v="Electronics"/>
    <n v="3"/>
    <n v="899.99"/>
    <s v="Credit Card"/>
    <x v="2"/>
    <s v="Standard"/>
    <d v="2021-12-11T00:00:00"/>
    <n v="2699.97"/>
    <s v="Aug"/>
    <n v="2024"/>
    <n v="1617"/>
    <s v="VIP Customer"/>
  </r>
  <r>
    <s v="TRX0119"/>
    <d v="2024-08-06T00:00:00"/>
    <s v="CUST014"/>
    <s v="Linda Martin"/>
    <s v="P008"/>
    <s v="Bookshelf"/>
    <s v="Furniture"/>
    <n v="3"/>
    <n v="149.99"/>
    <s v="PayPal"/>
    <x v="4"/>
    <s v="Basic"/>
    <d v="2021-12-12T00:00:00"/>
    <n v="449.97"/>
    <s v="Aug"/>
    <n v="2024"/>
    <n v="1616"/>
    <s v="Low Value"/>
  </r>
  <r>
    <s v="TRX0181"/>
    <d v="2024-08-07T00:00:00"/>
    <s v="CUST012"/>
    <s v="Patricia Moore"/>
    <s v="P007"/>
    <s v="Desk"/>
    <s v="Furniture"/>
    <n v="2"/>
    <n v="299.99"/>
    <s v="Debit Card"/>
    <x v="0"/>
    <s v="Basic"/>
    <d v="2021-12-13T00:00:00"/>
    <n v="599.98"/>
    <s v="Aug"/>
    <n v="2024"/>
    <n v="1615"/>
    <s v="Medium Value"/>
  </r>
  <r>
    <s v="TRX0129"/>
    <d v="2024-08-08T00:00:00"/>
    <s v="CUST015"/>
    <s v="Richard Lee"/>
    <s v="P006"/>
    <s v="Office Chair"/>
    <s v="Furniture"/>
    <n v="1"/>
    <n v="199.99"/>
    <s v="Debit Card"/>
    <x v="4"/>
    <s v="Standard"/>
    <d v="2021-12-14T00:00:00"/>
    <n v="199.99"/>
    <s v="Aug"/>
    <n v="2024"/>
    <n v="1614"/>
    <s v="Low Value"/>
  </r>
  <r>
    <s v="TRX0174"/>
    <d v="2024-08-09T00:00:00"/>
    <s v="CUST003"/>
    <s v="Michael Brown"/>
    <s v="P007"/>
    <s v="Desk"/>
    <s v="Furniture"/>
    <n v="4"/>
    <n v="299.99"/>
    <s v="Cash"/>
    <x v="0"/>
    <s v="Premium"/>
    <d v="2021-12-15T00:00:00"/>
    <n v="1199.96"/>
    <s v="Aug"/>
    <n v="2024"/>
    <n v="1613"/>
    <s v="High Value"/>
  </r>
  <r>
    <s v="TRX0146"/>
    <d v="2024-08-10T00:00:00"/>
    <s v="CUST010"/>
    <s v="Maria Garcia"/>
    <s v="P005"/>
    <s v="Blender"/>
    <s v="Appliances"/>
    <n v="2"/>
    <n v="59.99"/>
    <s v="Credit Card"/>
    <x v="0"/>
    <s v="Basic"/>
    <d v="2021-12-16T00:00:00"/>
    <n v="119.98"/>
    <s v="Aug"/>
    <n v="2024"/>
    <n v="1612"/>
    <s v="Low Value"/>
  </r>
  <r>
    <s v="TRX0203"/>
    <d v="2024-08-11T00:00:00"/>
    <s v="CUST032"/>
    <s v="Sandra Phillips"/>
    <s v="P003"/>
    <s v="Headphones"/>
    <s v="Electronics"/>
    <n v="4"/>
    <n v="149.99"/>
    <s v="Credit Card"/>
    <x v="2"/>
    <s v="Premium"/>
    <d v="2021-12-17T00:00:00"/>
    <n v="599.96"/>
    <s v="Aug"/>
    <n v="2024"/>
    <n v="1611"/>
    <s v="Medium Value"/>
  </r>
  <r>
    <s v="TRX0055"/>
    <d v="2024-08-12T00:00:00"/>
    <s v="CUST016"/>
    <s v="Elizabeth Hall"/>
    <s v="P002"/>
    <s v="Smartphone"/>
    <s v="Electronics"/>
    <n v="2"/>
    <n v="699.99"/>
    <s v="Debit Card"/>
    <x v="4"/>
    <s v="Premium"/>
    <d v="2021-12-18T00:00:00"/>
    <n v="1399.98"/>
    <s v="Aug"/>
    <n v="2024"/>
    <n v="1610"/>
    <s v="High Value"/>
  </r>
  <r>
    <s v="TRX0218"/>
    <d v="2024-08-13T00:00:00"/>
    <s v="CUST034"/>
    <s v="Carol Evans"/>
    <s v="P008"/>
    <s v="Bookshelf"/>
    <s v="Furniture"/>
    <n v="3"/>
    <n v="149.99"/>
    <s v="Credit Card"/>
    <x v="1"/>
    <s v="Standard"/>
    <d v="2021-12-19T00:00:00"/>
    <n v="449.97"/>
    <s v="Aug"/>
    <n v="2024"/>
    <n v="1609"/>
    <s v="Low Value"/>
  </r>
  <r>
    <s v="TRX0085"/>
    <d v="2024-08-14T00:00:00"/>
    <s v="CUST019"/>
    <s v="Daniel King"/>
    <s v="P007"/>
    <s v="Desk"/>
    <s v="Furniture"/>
    <n v="3"/>
    <n v="299.99"/>
    <s v="Credit Card"/>
    <x v="0"/>
    <s v="Standard"/>
    <d v="2021-12-20T00:00:00"/>
    <n v="899.97"/>
    <s v="Aug"/>
    <n v="2024"/>
    <n v="1608"/>
    <s v="Medium Value"/>
  </r>
  <r>
    <s v="TRX0158"/>
    <d v="2024-08-15T00:00:00"/>
    <s v="CUST027"/>
    <s v="George Adams"/>
    <s v="P001"/>
    <s v="Laptop"/>
    <s v="Electronics"/>
    <n v="3"/>
    <n v="899.99"/>
    <s v="PayPal"/>
    <x v="3"/>
    <s v="Basic"/>
    <d v="2021-12-21T00:00:00"/>
    <n v="2699.97"/>
    <s v="Aug"/>
    <n v="2024"/>
    <n v="1607"/>
    <s v="VIP Customer"/>
  </r>
  <r>
    <s v="TRX0173"/>
    <d v="2024-08-16T00:00:00"/>
    <s v="CUST018"/>
    <s v="Barbara Young"/>
    <s v="P002"/>
    <s v="Smartphone"/>
    <s v="Electronics"/>
    <n v="5"/>
    <n v="699.99"/>
    <s v="Cash"/>
    <x v="4"/>
    <s v="Standard"/>
    <d v="2021-12-22T00:00:00"/>
    <n v="3499.95"/>
    <s v="Aug"/>
    <n v="2024"/>
    <n v="1606"/>
    <s v="VIP Customer"/>
  </r>
  <r>
    <s v="TRX0034"/>
    <d v="2024-08-17T00:00:00"/>
    <s v="CUST049"/>
    <s v="Raymond Ross"/>
    <s v="P002"/>
    <s v="Smartphone"/>
    <s v="Electronics"/>
    <n v="4"/>
    <n v="699.99"/>
    <s v="Credit Card"/>
    <x v="0"/>
    <s v="Basic"/>
    <d v="2021-12-23T00:00:00"/>
    <n v="2799.96"/>
    <s v="Aug"/>
    <n v="2024"/>
    <n v="1605"/>
    <s v="VIP Customer"/>
  </r>
  <r>
    <s v="TRX0189"/>
    <d v="2024-08-18T00:00:00"/>
    <s v="CUST040"/>
    <s v="Sharon Butler"/>
    <s v="P001"/>
    <s v="Laptop"/>
    <s v="Electronics"/>
    <n v="1"/>
    <n v="899.99"/>
    <s v="Credit Card"/>
    <x v="4"/>
    <s v="Standard"/>
    <d v="2021-12-24T00:00:00"/>
    <n v="899.99"/>
    <s v="Aug"/>
    <n v="2024"/>
    <n v="1604"/>
    <s v="Medium Value"/>
  </r>
  <r>
    <s v="TRX0190"/>
    <d v="2024-08-19T00:00:00"/>
    <s v="CUST039"/>
    <s v="Lawrence Reed"/>
    <s v="P003"/>
    <s v="Headphones"/>
    <s v="Electronics"/>
    <n v="2"/>
    <n v="149.99"/>
    <s v="Credit Card"/>
    <x v="3"/>
    <s v="Basic"/>
    <d v="2021-12-25T00:00:00"/>
    <n v="299.98"/>
    <s v="Aug"/>
    <n v="2024"/>
    <n v="1603"/>
    <s v="Low Value"/>
  </r>
  <r>
    <s v="TRX0079"/>
    <d v="2024-08-20T00:00:00"/>
    <s v="CUST039"/>
    <s v="Lawrence Reed"/>
    <s v="P010"/>
    <s v="Keyboard"/>
    <s v="Electronics"/>
    <n v="3"/>
    <n v="89.99"/>
    <s v="PayPal"/>
    <x v="0"/>
    <s v="Basic"/>
    <d v="2021-12-26T00:00:00"/>
    <n v="269.97000000000003"/>
    <s v="Aug"/>
    <n v="2024"/>
    <n v="1602"/>
    <s v="Low Value"/>
  </r>
  <r>
    <s v="TRX0095"/>
    <d v="2024-08-21T00:00:00"/>
    <s v="CUST046"/>
    <s v="Kathleen Bennett"/>
    <s v="P003"/>
    <s v="Headphones"/>
    <s v="Electronics"/>
    <n v="2"/>
    <n v="149.99"/>
    <s v="PayPal"/>
    <x v="0"/>
    <s v="Basic"/>
    <d v="2021-12-27T00:00:00"/>
    <n v="299.98"/>
    <s v="Aug"/>
    <n v="2024"/>
    <n v="1601"/>
    <s v="Low Value"/>
  </r>
  <r>
    <s v="TRX0009"/>
    <d v="2024-08-22T00:00:00"/>
    <s v="CUST004"/>
    <s v="Sarah Davis"/>
    <s v="P002"/>
    <s v="Smartphone"/>
    <s v="Electronics"/>
    <n v="2"/>
    <n v="699.99"/>
    <s v="Cash"/>
    <x v="0"/>
    <s v="Basic"/>
    <d v="2021-12-28T00:00:00"/>
    <n v="1399.98"/>
    <s v="Aug"/>
    <n v="2024"/>
    <n v="1600"/>
    <s v="High Value"/>
  </r>
  <r>
    <s v="TRX0167"/>
    <d v="2024-08-23T00:00:00"/>
    <s v="CUST028"/>
    <s v="Betty Campbell"/>
    <s v="P002"/>
    <s v="Smartphone"/>
    <s v="Electronics"/>
    <n v="5"/>
    <n v="699.99"/>
    <s v="Cash"/>
    <x v="2"/>
    <s v="Premium"/>
    <d v="2021-12-29T00:00:00"/>
    <n v="3499.95"/>
    <s v="Aug"/>
    <n v="2024"/>
    <n v="1599"/>
    <s v="VIP Customer"/>
  </r>
  <r>
    <s v="TRX0153"/>
    <d v="2024-08-24T00:00:00"/>
    <s v="CUST049"/>
    <s v="Raymond Ross"/>
    <s v="P010"/>
    <s v="Keyboard"/>
    <s v="Electronics"/>
    <n v="3"/>
    <n v="89.99"/>
    <s v="Credit Card"/>
    <x v="2"/>
    <s v="Standard"/>
    <d v="2021-12-30T00:00:00"/>
    <n v="269.97000000000003"/>
    <s v="Aug"/>
    <n v="2024"/>
    <n v="1598"/>
    <s v="Low Value"/>
  </r>
  <r>
    <s v="TRX0057"/>
    <d v="2024-08-25T00:00:00"/>
    <s v="CUST023"/>
    <s v="Paul Baker"/>
    <s v="P009"/>
    <s v="Monitor"/>
    <s v="Electronics"/>
    <n v="5"/>
    <n v="249.99"/>
    <s v="Credit Card"/>
    <x v="1"/>
    <s v="Standard"/>
    <d v="2021-12-31T00:00:00"/>
    <n v="1249.95"/>
    <s v="Aug"/>
    <n v="2024"/>
    <n v="1597"/>
    <s v="High Value"/>
  </r>
  <r>
    <s v="TRX0017"/>
    <d v="2024-08-26T00:00:00"/>
    <s v="CUST026"/>
    <s v="Karen Hill"/>
    <s v="P007"/>
    <s v="Desk"/>
    <s v="Furniture"/>
    <n v="3"/>
    <n v="299.99"/>
    <s v="Credit Card"/>
    <x v="1"/>
    <s v="Standard"/>
    <d v="2022-01-01T00:00:00"/>
    <n v="899.97"/>
    <s v="Aug"/>
    <n v="2024"/>
    <n v="1596"/>
    <s v="Medium Value"/>
  </r>
  <r>
    <s v="TRX0060"/>
    <d v="2024-08-27T00:00:00"/>
    <s v="CUST012"/>
    <s v="Patricia Moore"/>
    <s v="P010"/>
    <s v="Keyboard"/>
    <s v="Electronics"/>
    <n v="3"/>
    <n v="89.99"/>
    <s v="Credit Card"/>
    <x v="2"/>
    <s v="Premium"/>
    <d v="2022-01-02T00:00:00"/>
    <n v="269.97000000000003"/>
    <s v="Aug"/>
    <n v="2024"/>
    <n v="1595"/>
    <s v="Low Value"/>
  </r>
  <r>
    <s v="TRX0109"/>
    <d v="2024-08-28T00:00:00"/>
    <s v="CUST010"/>
    <s v="Maria Garcia"/>
    <s v="P008"/>
    <s v="Bookshelf"/>
    <s v="Furniture"/>
    <n v="2"/>
    <n v="149.99"/>
    <s v="Credit Card"/>
    <x v="3"/>
    <s v="Premium"/>
    <d v="2022-01-03T00:00:00"/>
    <n v="299.98"/>
    <s v="Aug"/>
    <n v="2024"/>
    <n v="1594"/>
    <s v="Low Value"/>
  </r>
  <r>
    <s v="TRX0090"/>
    <d v="2024-08-29T00:00:00"/>
    <s v="CUST020"/>
    <s v="Margaret Wright"/>
    <s v="P009"/>
    <s v="Monitor"/>
    <s v="Electronics"/>
    <n v="1"/>
    <n v="249.99"/>
    <s v="Credit Card"/>
    <x v="2"/>
    <s v="Premium"/>
    <d v="2022-01-04T00:00:00"/>
    <n v="249.99"/>
    <s v="Aug"/>
    <n v="2024"/>
    <n v="1593"/>
    <s v="Low Value"/>
  </r>
  <r>
    <s v="TRX0035"/>
    <d v="2024-08-30T00:00:00"/>
    <s v="CUST041"/>
    <s v="Peter Richardson"/>
    <s v="P003"/>
    <s v="Headphones"/>
    <s v="Electronics"/>
    <n v="3"/>
    <n v="149.99"/>
    <s v="Cash"/>
    <x v="2"/>
    <s v="Basic"/>
    <d v="2022-01-05T00:00:00"/>
    <n v="449.97"/>
    <s v="Aug"/>
    <n v="2024"/>
    <n v="1592"/>
    <s v="Low Value"/>
  </r>
  <r>
    <s v="TRX0172"/>
    <d v="2024-08-31T00:00:00"/>
    <s v="CUST023"/>
    <s v="Paul Baker"/>
    <s v="P005"/>
    <s v="Blender"/>
    <s v="Appliances"/>
    <n v="5"/>
    <n v="59.99"/>
    <s v="PayPal"/>
    <x v="3"/>
    <s v="Premium"/>
    <d v="2022-01-06T00:00:00"/>
    <n v="299.95"/>
    <s v="Aug"/>
    <n v="2024"/>
    <n v="1591"/>
    <s v="Low Value"/>
  </r>
  <r>
    <s v="TRX0076"/>
    <d v="2024-09-01T00:00:00"/>
    <s v="CUST012"/>
    <s v="Patricia Moore"/>
    <s v="P009"/>
    <s v="Monitor"/>
    <s v="Electronics"/>
    <n v="4"/>
    <n v="249.99"/>
    <s v="Credit Card"/>
    <x v="3"/>
    <s v="Standard"/>
    <d v="2022-01-07T00:00:00"/>
    <n v="999.96"/>
    <s v="Sep"/>
    <n v="2024"/>
    <n v="1590"/>
    <s v="Medium Value"/>
  </r>
  <r>
    <s v="TRX0210"/>
    <d v="2024-09-02T00:00:00"/>
    <s v="CUST004"/>
    <s v="Sarah Davis"/>
    <s v="P008"/>
    <s v="Bookshelf"/>
    <s v="Furniture"/>
    <n v="5"/>
    <n v="149.99"/>
    <s v="PayPal"/>
    <x v="0"/>
    <s v="Basic"/>
    <d v="2022-01-08T00:00:00"/>
    <n v="749.95"/>
    <s v="Sep"/>
    <n v="2024"/>
    <n v="1589"/>
    <s v="Medium Value"/>
  </r>
  <r>
    <s v="TRX0149"/>
    <d v="2024-09-03T00:00:00"/>
    <s v="CUST027"/>
    <s v="George Adams"/>
    <s v="P005"/>
    <s v="Blender"/>
    <s v="Appliances"/>
    <n v="3"/>
    <n v="59.99"/>
    <s v="Debit Card"/>
    <x v="1"/>
    <s v="Standard"/>
    <d v="2022-01-09T00:00:00"/>
    <n v="179.97"/>
    <s v="Sep"/>
    <n v="2024"/>
    <n v="1588"/>
    <s v="Low Value"/>
  </r>
  <r>
    <s v="TRX0073"/>
    <d v="2024-09-04T00:00:00"/>
    <s v="CUST032"/>
    <s v="Sandra Phillips"/>
    <s v="P008"/>
    <s v="Bookshelf"/>
    <s v="Furniture"/>
    <n v="5"/>
    <n v="149.99"/>
    <s v="Cash"/>
    <x v="2"/>
    <s v="Basic"/>
    <d v="2022-01-10T00:00:00"/>
    <n v="749.95"/>
    <s v="Sep"/>
    <n v="2024"/>
    <n v="1587"/>
    <s v="Medium Value"/>
  </r>
  <r>
    <s v="TRX0033"/>
    <d v="2024-09-05T00:00:00"/>
    <s v="CUST025"/>
    <s v="Mark Carter"/>
    <s v="P002"/>
    <s v="Smartphone"/>
    <s v="Electronics"/>
    <n v="2"/>
    <n v="699.99"/>
    <s v="PayPal"/>
    <x v="3"/>
    <s v="Standard"/>
    <d v="2022-01-11T00:00:00"/>
    <n v="1399.98"/>
    <s v="Sep"/>
    <n v="2024"/>
    <n v="1586"/>
    <s v="High Value"/>
  </r>
  <r>
    <s v="TRX0160"/>
    <d v="2024-09-06T00:00:00"/>
    <s v="CUST029"/>
    <s v="Edward Mitchell"/>
    <s v="P006"/>
    <s v="Office Chair"/>
    <s v="Furniture"/>
    <n v="4"/>
    <n v="199.99"/>
    <s v="Debit Card"/>
    <x v="0"/>
    <s v="Premium"/>
    <d v="2022-01-12T00:00:00"/>
    <n v="799.96"/>
    <s v="Sep"/>
    <n v="2024"/>
    <n v="1585"/>
    <s v="Medium Value"/>
  </r>
  <r>
    <s v="TRX0145"/>
    <d v="2024-09-07T00:00:00"/>
    <s v="CUST033"/>
    <s v="Frank Torres"/>
    <s v="P005"/>
    <s v="Blender"/>
    <s v="Appliances"/>
    <n v="1"/>
    <n v="59.99"/>
    <s v="Debit Card"/>
    <x v="3"/>
    <s v="Standard"/>
    <d v="2022-01-13T00:00:00"/>
    <n v="59.99"/>
    <s v="Sep"/>
    <n v="2024"/>
    <n v="1584"/>
    <s v="Low Value"/>
  </r>
  <r>
    <s v="TRX0148"/>
    <d v="2024-09-08T00:00:00"/>
    <s v="CUST004"/>
    <s v="Sarah Davis"/>
    <s v="P002"/>
    <s v="Smartphone"/>
    <s v="Electronics"/>
    <n v="3"/>
    <n v="699.99"/>
    <s v="PayPal"/>
    <x v="3"/>
    <s v="Standard"/>
    <d v="2022-01-14T00:00:00"/>
    <n v="2099.9699999999998"/>
    <s v="Sep"/>
    <n v="2024"/>
    <n v="1583"/>
    <s v="VIP Customer"/>
  </r>
  <r>
    <s v="TRX0012"/>
    <d v="2024-09-09T00:00:00"/>
    <s v="CUST045"/>
    <s v="Douglas Watson"/>
    <s v="P009"/>
    <s v="Monitor"/>
    <s v="Electronics"/>
    <n v="5"/>
    <n v="249.99"/>
    <s v="Credit Card"/>
    <x v="2"/>
    <s v="Basic"/>
    <d v="2022-01-15T00:00:00"/>
    <n v="1249.95"/>
    <s v="Sep"/>
    <n v="2024"/>
    <n v="1582"/>
    <s v="High Value"/>
  </r>
  <r>
    <s v="TRX0206"/>
    <d v="2024-09-10T00:00:00"/>
    <s v="CUST014"/>
    <s v="Linda Martin"/>
    <s v="P008"/>
    <s v="Bookshelf"/>
    <s v="Furniture"/>
    <n v="2"/>
    <n v="149.99"/>
    <s v="Cash"/>
    <x v="1"/>
    <s v="Standard"/>
    <d v="2022-01-16T00:00:00"/>
    <n v="299.98"/>
    <s v="Sep"/>
    <n v="2024"/>
    <n v="1581"/>
    <s v="Low Value"/>
  </r>
  <r>
    <s v="TRX0045"/>
    <d v="2024-09-11T00:00:00"/>
    <s v="CUST021"/>
    <s v="Kevin Scott"/>
    <s v="P007"/>
    <s v="Desk"/>
    <s v="Furniture"/>
    <n v="3"/>
    <n v="299.99"/>
    <s v="Cash"/>
    <x v="1"/>
    <s v="Premium"/>
    <d v="2022-01-17T00:00:00"/>
    <n v="899.97"/>
    <s v="Sep"/>
    <n v="2024"/>
    <n v="1580"/>
    <s v="Medium Value"/>
  </r>
  <r>
    <s v="TRX0094"/>
    <d v="2024-09-12T00:00:00"/>
    <s v="CUST017"/>
    <s v="Charles Allen"/>
    <s v="P009"/>
    <s v="Monitor"/>
    <s v="Electronics"/>
    <n v="5"/>
    <n v="249.99"/>
    <s v="Cash"/>
    <x v="0"/>
    <s v="Premium"/>
    <d v="2022-01-18T00:00:00"/>
    <n v="1249.95"/>
    <s v="Sep"/>
    <n v="2024"/>
    <n v="1579"/>
    <s v="High Value"/>
  </r>
  <r>
    <s v="TRX0133"/>
    <d v="2024-09-13T00:00:00"/>
    <s v="CUST013"/>
    <s v="Joseph Jackson"/>
    <s v="P003"/>
    <s v="Headphones"/>
    <s v="Electronics"/>
    <n v="2"/>
    <n v="149.99"/>
    <s v="Cash"/>
    <x v="1"/>
    <s v="Premium"/>
    <d v="2022-01-19T00:00:00"/>
    <n v="299.98"/>
    <s v="Sep"/>
    <n v="2024"/>
    <n v="1578"/>
    <s v="Low Value"/>
  </r>
  <r>
    <s v="TRX0201"/>
    <d v="2024-09-14T00:00:00"/>
    <s v="CUST025"/>
    <s v="Mark Carter"/>
    <s v="P002"/>
    <s v="Smartphone"/>
    <s v="Electronics"/>
    <n v="5"/>
    <n v="699.99"/>
    <s v="Debit Card"/>
    <x v="3"/>
    <s v="Standard"/>
    <d v="2022-01-20T00:00:00"/>
    <n v="3499.95"/>
    <s v="Sep"/>
    <n v="2024"/>
    <n v="1577"/>
    <s v="VIP Customer"/>
  </r>
  <r>
    <s v="TRX0137"/>
    <d v="2024-09-15T00:00:00"/>
    <s v="CUST011"/>
    <s v="William White"/>
    <s v="P009"/>
    <s v="Monitor"/>
    <s v="Electronics"/>
    <n v="4"/>
    <n v="249.99"/>
    <s v="PayPal"/>
    <x v="4"/>
    <s v="Premium"/>
    <d v="2022-01-21T00:00:00"/>
    <n v="999.96"/>
    <s v="Sep"/>
    <n v="2024"/>
    <n v="1576"/>
    <s v="Medium Value"/>
  </r>
  <r>
    <s v="TRX0066"/>
    <d v="2024-09-16T00:00:00"/>
    <s v="CUST024"/>
    <s v="Dorothy Nelson"/>
    <s v="P002"/>
    <s v="Smartphone"/>
    <s v="Electronics"/>
    <n v="4"/>
    <n v="699.99"/>
    <s v="Credit Card"/>
    <x v="2"/>
    <s v="Premium"/>
    <d v="2022-01-22T00:00:00"/>
    <n v="2799.96"/>
    <s v="Sep"/>
    <n v="2024"/>
    <n v="1575"/>
    <s v="VIP Customer"/>
  </r>
  <r>
    <s v="TRX0180"/>
    <d v="2024-09-17T00:00:00"/>
    <s v="CUST036"/>
    <s v="Nancy Collins"/>
    <s v="P009"/>
    <s v="Monitor"/>
    <s v="Electronics"/>
    <n v="2"/>
    <n v="249.99"/>
    <s v="Credit Card"/>
    <x v="0"/>
    <s v="Premium"/>
    <d v="2022-01-23T00:00:00"/>
    <n v="499.98"/>
    <s v="Sep"/>
    <n v="2024"/>
    <n v="1574"/>
    <s v="Low Value"/>
  </r>
  <r>
    <s v="TRX0082"/>
    <d v="2024-09-18T00:00:00"/>
    <s v="CUST005"/>
    <s v="James Johnson"/>
    <s v="P005"/>
    <s v="Blender"/>
    <s v="Appliances"/>
    <n v="3"/>
    <n v="59.99"/>
    <s v="Cash"/>
    <x v="0"/>
    <s v="Premium"/>
    <d v="2022-01-24T00:00:00"/>
    <n v="179.97"/>
    <s v="Sep"/>
    <n v="2024"/>
    <n v="1573"/>
    <s v="Low Value"/>
  </r>
  <r>
    <s v="TRX0036"/>
    <d v="2024-09-19T00:00:00"/>
    <s v="CUST008"/>
    <s v="Jennifer Taylor"/>
    <s v="P004"/>
    <s v="Coffee Maker"/>
    <s v="Appliances"/>
    <n v="4"/>
    <n v="79.989999999999995"/>
    <s v="Debit Card"/>
    <x v="4"/>
    <s v="Standard"/>
    <d v="2022-01-25T00:00:00"/>
    <n v="319.95999999999998"/>
    <s v="Sep"/>
    <n v="2024"/>
    <n v="1572"/>
    <s v="Low Value"/>
  </r>
  <r>
    <s v="TRX0198"/>
    <d v="2024-09-20T00:00:00"/>
    <s v="CUST030"/>
    <s v="Helen Roberts"/>
    <s v="P004"/>
    <s v="Coffee Maker"/>
    <s v="Appliances"/>
    <n v="3"/>
    <n v="79.989999999999995"/>
    <s v="Debit Card"/>
    <x v="4"/>
    <s v="Standard"/>
    <d v="2022-01-26T00:00:00"/>
    <n v="239.97"/>
    <s v="Sep"/>
    <n v="2024"/>
    <n v="1571"/>
    <s v="Low Value"/>
  </r>
  <r>
    <s v="TRX0032"/>
    <d v="2024-09-21T00:00:00"/>
    <s v="CUST041"/>
    <s v="Peter Richardson"/>
    <s v="P001"/>
    <s v="Laptop"/>
    <s v="Electronics"/>
    <n v="2"/>
    <n v="899.99"/>
    <s v="Cash"/>
    <x v="2"/>
    <s v="Basic"/>
    <d v="2022-01-27T00:00:00"/>
    <n v="1799.98"/>
    <s v="Sep"/>
    <n v="2024"/>
    <n v="1570"/>
    <s v="High Value"/>
  </r>
  <r>
    <s v="TRX0081"/>
    <d v="2024-09-22T00:00:00"/>
    <s v="CUST007"/>
    <s v="David Martinez"/>
    <s v="P008"/>
    <s v="Bookshelf"/>
    <s v="Furniture"/>
    <n v="1"/>
    <n v="149.99"/>
    <s v="Debit Card"/>
    <x v="4"/>
    <s v="Standard"/>
    <d v="2022-01-28T00:00:00"/>
    <n v="149.99"/>
    <s v="Sep"/>
    <n v="2024"/>
    <n v="1569"/>
    <s v="Low Value"/>
  </r>
  <r>
    <s v="TRX0224"/>
    <d v="2024-09-23T00:00:00"/>
    <s v="CUST031"/>
    <s v="Steven Turner"/>
    <s v="P007"/>
    <s v="Desk"/>
    <s v="Furniture"/>
    <n v="2"/>
    <n v="299.99"/>
    <s v="Cash"/>
    <x v="4"/>
    <s v="Premium"/>
    <d v="2022-01-29T00:00:00"/>
    <n v="599.98"/>
    <s v="Sep"/>
    <n v="2024"/>
    <n v="1568"/>
    <s v="Medium Value"/>
  </r>
  <r>
    <s v="TRX0028"/>
    <d v="2024-09-24T00:00:00"/>
    <s v="CUST002"/>
    <s v="Emma Wilson"/>
    <s v="P005"/>
    <s v="Blender"/>
    <s v="Appliances"/>
    <n v="2"/>
    <n v="59.99"/>
    <s v="Cash"/>
    <x v="3"/>
    <s v="Basic"/>
    <d v="2022-01-30T00:00:00"/>
    <n v="119.98"/>
    <s v="Sep"/>
    <n v="2024"/>
    <n v="1567"/>
    <s v="Low Value"/>
  </r>
  <r>
    <s v="TRX0183"/>
    <d v="2024-09-25T00:00:00"/>
    <s v="CUST007"/>
    <s v="David Martinez"/>
    <s v="P010"/>
    <s v="Keyboard"/>
    <s v="Electronics"/>
    <n v="1"/>
    <n v="89.99"/>
    <s v="Debit Card"/>
    <x v="0"/>
    <s v="Standard"/>
    <d v="2022-01-31T00:00:00"/>
    <n v="89.99"/>
    <s v="Sep"/>
    <n v="2024"/>
    <n v="1566"/>
    <s v="Low Value"/>
  </r>
  <r>
    <s v="TRX0163"/>
    <d v="2024-09-26T00:00:00"/>
    <s v="CUST019"/>
    <s v="Daniel King"/>
    <s v="P001"/>
    <s v="Laptop"/>
    <s v="Electronics"/>
    <n v="5"/>
    <n v="899.99"/>
    <s v="Debit Card"/>
    <x v="4"/>
    <s v="Standard"/>
    <d v="2022-02-01T00:00:00"/>
    <n v="4499.95"/>
    <s v="Sep"/>
    <n v="2024"/>
    <n v="1565"/>
    <s v="VIP Customer"/>
  </r>
  <r>
    <s v="TRX0046"/>
    <d v="2024-09-27T00:00:00"/>
    <s v="CUST003"/>
    <s v="Michael Brown"/>
    <s v="P008"/>
    <s v="Bookshelf"/>
    <s v="Furniture"/>
    <n v="2"/>
    <n v="149.99"/>
    <s v="Cash"/>
    <x v="1"/>
    <s v="Basic"/>
    <d v="2022-02-02T00:00:00"/>
    <n v="299.98"/>
    <s v="Sep"/>
    <n v="2024"/>
    <n v="1564"/>
    <s v="Low Value"/>
  </r>
  <r>
    <s v="TRX0164"/>
    <d v="2024-09-28T00:00:00"/>
    <s v="CUST014"/>
    <s v="Linda Martin"/>
    <s v="P003"/>
    <s v="Headphones"/>
    <s v="Electronics"/>
    <n v="2"/>
    <n v="149.99"/>
    <s v="Debit Card"/>
    <x v="3"/>
    <s v="Premium"/>
    <d v="2022-02-03T00:00:00"/>
    <n v="299.98"/>
    <s v="Sep"/>
    <n v="2024"/>
    <n v="1563"/>
    <s v="Low Value"/>
  </r>
  <r>
    <s v="TRX0008"/>
    <d v="2024-09-29T00:00:00"/>
    <s v="CUST007"/>
    <s v="David Martinez"/>
    <s v="P008"/>
    <s v="Bookshelf"/>
    <s v="Furniture"/>
    <n v="3"/>
    <n v="149.99"/>
    <s v="Debit Card"/>
    <x v="2"/>
    <s v="Standard"/>
    <d v="2022-02-04T00:00:00"/>
    <n v="449.97"/>
    <s v="Sep"/>
    <n v="2024"/>
    <n v="1562"/>
    <s v="Low Value"/>
  </r>
  <r>
    <s v="TRX0171"/>
    <d v="2024-09-30T00:00:00"/>
    <s v="CUST021"/>
    <s v="Kevin Scott"/>
    <s v="P007"/>
    <s v="Desk"/>
    <s v="Furniture"/>
    <n v="2"/>
    <n v="299.99"/>
    <s v="PayPal"/>
    <x v="1"/>
    <s v="Basic"/>
    <d v="2022-02-05T00:00:00"/>
    <n v="599.98"/>
    <s v="Sep"/>
    <n v="2024"/>
    <n v="1561"/>
    <s v="Medium Value"/>
  </r>
  <r>
    <s v="TRX0143"/>
    <d v="2024-10-01T00:00:00"/>
    <s v="CUST003"/>
    <s v="Michael Brown"/>
    <s v="P007"/>
    <s v="Desk"/>
    <s v="Furniture"/>
    <n v="2"/>
    <n v="299.99"/>
    <s v="Cash"/>
    <x v="3"/>
    <s v="Basic"/>
    <d v="2022-02-06T00:00:00"/>
    <n v="599.98"/>
    <s v="Oct"/>
    <n v="2024"/>
    <n v="1560"/>
    <s v="Medium Value"/>
  </r>
  <r>
    <s v="TRX0165"/>
    <d v="2024-10-02T00:00:00"/>
    <s v="CUST030"/>
    <s v="Helen Roberts"/>
    <s v="P006"/>
    <s v="Office Chair"/>
    <s v="Furniture"/>
    <n v="4"/>
    <n v="199.99"/>
    <s v="Credit Card"/>
    <x v="0"/>
    <s v="Basic"/>
    <d v="2022-02-07T00:00:00"/>
    <n v="799.96"/>
    <s v="Oct"/>
    <n v="2024"/>
    <n v="1559"/>
    <s v="Medium Value"/>
  </r>
  <r>
    <s v="TRX0156"/>
    <d v="2024-10-03T00:00:00"/>
    <s v="CUST009"/>
    <s v="Robert Thomas"/>
    <s v="P010"/>
    <s v="Keyboard"/>
    <s v="Electronics"/>
    <n v="1"/>
    <n v="89.99"/>
    <s v="Credit Card"/>
    <x v="1"/>
    <s v="Premium"/>
    <d v="2022-02-08T00:00:00"/>
    <n v="89.99"/>
    <s v="Oct"/>
    <n v="2024"/>
    <n v="1558"/>
    <s v="Low Value"/>
  </r>
  <r>
    <s v="TRX0147"/>
    <d v="2024-10-04T00:00:00"/>
    <s v="CUST036"/>
    <s v="Nancy Collins"/>
    <s v="P008"/>
    <s v="Bookshelf"/>
    <s v="Furniture"/>
    <n v="5"/>
    <n v="149.99"/>
    <s v="Cash"/>
    <x v="0"/>
    <s v="Premium"/>
    <d v="2022-02-09T00:00:00"/>
    <n v="749.95"/>
    <s v="Oct"/>
    <n v="2024"/>
    <n v="1557"/>
    <s v="Medium Value"/>
  </r>
  <r>
    <s v="TRX0207"/>
    <d v="2024-10-05T00:00:00"/>
    <s v="CUST025"/>
    <s v="Mark Carter"/>
    <s v="P001"/>
    <s v="Laptop"/>
    <s v="Electronics"/>
    <n v="1"/>
    <n v="899.99"/>
    <s v="PayPal"/>
    <x v="2"/>
    <s v="Premium"/>
    <d v="2022-02-10T00:00:00"/>
    <n v="899.99"/>
    <s v="Oct"/>
    <n v="2024"/>
    <n v="1556"/>
    <s v="Medium Value"/>
  </r>
  <r>
    <s v="TRX0056"/>
    <d v="2024-10-06T00:00:00"/>
    <s v="CUST019"/>
    <s v="Daniel King"/>
    <s v="P010"/>
    <s v="Keyboard"/>
    <s v="Electronics"/>
    <n v="2"/>
    <n v="89.99"/>
    <s v="Credit Card"/>
    <x v="1"/>
    <s v="Premium"/>
    <d v="2022-02-11T00:00:00"/>
    <n v="179.98"/>
    <s v="Oct"/>
    <n v="2024"/>
    <n v="1555"/>
    <s v="Low Value"/>
  </r>
  <r>
    <s v="TRX0026"/>
    <d v="2024-10-07T00:00:00"/>
    <s v="CUST037"/>
    <s v="Arthur Edwards"/>
    <s v="P001"/>
    <s v="Laptop"/>
    <s v="Electronics"/>
    <n v="1"/>
    <n v="899.99"/>
    <s v="PayPal"/>
    <x v="2"/>
    <s v="Standard"/>
    <d v="2022-02-12T00:00:00"/>
    <n v="899.99"/>
    <s v="Oct"/>
    <n v="2024"/>
    <n v="1554"/>
    <s v="Medium Value"/>
  </r>
  <r>
    <s v="TRX0237"/>
    <d v="2024-10-08T00:00:00"/>
    <s v="CUST006"/>
    <s v="Lisa Anderson"/>
    <s v="P003"/>
    <s v="Headphones"/>
    <s v="Electronics"/>
    <n v="5"/>
    <n v="149.99"/>
    <s v="PayPal"/>
    <x v="4"/>
    <s v="Premium"/>
    <d v="2022-02-13T00:00:00"/>
    <n v="749.95"/>
    <s v="Oct"/>
    <n v="2024"/>
    <n v="1553"/>
    <s v="Medium Value"/>
  </r>
  <r>
    <s v="TRX0091"/>
    <d v="2024-10-09T00:00:00"/>
    <s v="CUST003"/>
    <s v="Michael Brown"/>
    <s v="P007"/>
    <s v="Desk"/>
    <s v="Furniture"/>
    <n v="3"/>
    <n v="299.99"/>
    <s v="Cash"/>
    <x v="1"/>
    <s v="Standard"/>
    <d v="2022-02-14T00:00:00"/>
    <n v="899.97"/>
    <s v="Oct"/>
    <n v="2024"/>
    <n v="1552"/>
    <s v="Medium Value"/>
  </r>
  <r>
    <s v="TRX0125"/>
    <d v="2024-10-10T00:00:00"/>
    <s v="CUST026"/>
    <s v="Karen Hill"/>
    <s v="P002"/>
    <s v="Smartphone"/>
    <s v="Electronics"/>
    <n v="3"/>
    <n v="699.99"/>
    <s v="Credit Card"/>
    <x v="0"/>
    <s v="Premium"/>
    <d v="2022-02-15T00:00:00"/>
    <n v="2099.9699999999998"/>
    <s v="Oct"/>
    <n v="2024"/>
    <n v="1551"/>
    <s v="VIP Customer"/>
  </r>
  <r>
    <s v="TRX0223"/>
    <d v="2024-10-11T00:00:00"/>
    <s v="CUST036"/>
    <s v="Nancy Collins"/>
    <s v="P006"/>
    <s v="Office Chair"/>
    <s v="Furniture"/>
    <n v="5"/>
    <n v="199.99"/>
    <s v="PayPal"/>
    <x v="0"/>
    <s v="Standard"/>
    <d v="2022-02-16T00:00:00"/>
    <n v="999.95"/>
    <s v="Oct"/>
    <n v="2024"/>
    <n v="1550"/>
    <s v="Medium Value"/>
  </r>
  <r>
    <s v="TRX0243"/>
    <d v="2024-10-12T00:00:00"/>
    <s v="CUST048"/>
    <s v="Virginia Sanders"/>
    <s v="P009"/>
    <s v="Monitor"/>
    <s v="Electronics"/>
    <n v="5"/>
    <n v="249.99"/>
    <s v="Credit Card"/>
    <x v="1"/>
    <s v="Basic"/>
    <d v="2022-02-17T00:00:00"/>
    <n v="1249.95"/>
    <s v="Oct"/>
    <n v="2024"/>
    <n v="1549"/>
    <s v="High Value"/>
  </r>
  <r>
    <s v="TRX0084"/>
    <d v="2024-10-13T00:00:00"/>
    <s v="CUST031"/>
    <s v="Steven Turner"/>
    <s v="P003"/>
    <s v="Headphones"/>
    <s v="Electronics"/>
    <n v="4"/>
    <n v="149.99"/>
    <s v="Debit Card"/>
    <x v="4"/>
    <s v="Standard"/>
    <d v="2022-02-18T00:00:00"/>
    <n v="599.96"/>
    <s v="Oct"/>
    <n v="2024"/>
    <n v="1548"/>
    <s v="Medium Value"/>
  </r>
  <r>
    <s v="TRX0238"/>
    <d v="2024-10-14T00:00:00"/>
    <s v="CUST038"/>
    <s v="Michelle Rogers"/>
    <s v="P002"/>
    <s v="Smartphone"/>
    <s v="Electronics"/>
    <n v="3"/>
    <n v="699.99"/>
    <s v="Cash"/>
    <x v="2"/>
    <s v="Premium"/>
    <d v="2022-02-19T00:00:00"/>
    <n v="2099.9699999999998"/>
    <s v="Oct"/>
    <n v="2024"/>
    <n v="1547"/>
    <s v="VIP Customer"/>
  </r>
  <r>
    <s v="TRX0102"/>
    <d v="2024-10-15T00:00:00"/>
    <s v="CUST045"/>
    <s v="Douglas Watson"/>
    <s v="P004"/>
    <s v="Coffee Maker"/>
    <s v="Appliances"/>
    <n v="1"/>
    <n v="79.989999999999995"/>
    <s v="Credit Card"/>
    <x v="1"/>
    <s v="Basic"/>
    <d v="2022-02-20T00:00:00"/>
    <n v="79.989999999999995"/>
    <s v="Oct"/>
    <n v="2024"/>
    <n v="1546"/>
    <s v="Low Value"/>
  </r>
  <r>
    <s v="TRX0022"/>
    <d v="2024-10-16T00:00:00"/>
    <s v="CUST025"/>
    <s v="Mark Carter"/>
    <s v="P007"/>
    <s v="Desk"/>
    <s v="Furniture"/>
    <n v="1"/>
    <n v="299.99"/>
    <s v="Credit Card"/>
    <x v="2"/>
    <s v="Basic"/>
    <d v="2022-02-21T00:00:00"/>
    <n v="299.99"/>
    <s v="Oct"/>
    <n v="2024"/>
    <n v="1545"/>
    <s v="Low Value"/>
  </r>
  <r>
    <s v="TRX0087"/>
    <d v="2024-10-17T00:00:00"/>
    <s v="CUST028"/>
    <s v="Betty Campbell"/>
    <s v="P009"/>
    <s v="Monitor"/>
    <s v="Electronics"/>
    <n v="4"/>
    <n v="249.99"/>
    <s v="Credit Card"/>
    <x v="2"/>
    <s v="Premium"/>
    <d v="2022-02-22T00:00:00"/>
    <n v="999.96"/>
    <s v="Oct"/>
    <n v="2024"/>
    <n v="1544"/>
    <s v="Medium Value"/>
  </r>
  <r>
    <s v="TRX0107"/>
    <d v="2024-10-18T00:00:00"/>
    <s v="CUST030"/>
    <s v="Helen Roberts"/>
    <s v="P003"/>
    <s v="Headphones"/>
    <s v="Electronics"/>
    <n v="2"/>
    <n v="149.99"/>
    <s v="Cash"/>
    <x v="2"/>
    <s v="Standard"/>
    <d v="2022-02-23T00:00:00"/>
    <n v="299.98"/>
    <s v="Oct"/>
    <n v="2024"/>
    <n v="1543"/>
    <s v="Low Value"/>
  </r>
  <r>
    <s v="TRX0051"/>
    <d v="2024-10-19T00:00:00"/>
    <s v="CUST032"/>
    <s v="Sandra Phillips"/>
    <s v="P007"/>
    <s v="Desk"/>
    <s v="Furniture"/>
    <n v="3"/>
    <n v="299.99"/>
    <s v="Credit Card"/>
    <x v="1"/>
    <s v="Basic"/>
    <d v="2022-02-24T00:00:00"/>
    <n v="899.97"/>
    <s v="Oct"/>
    <n v="2024"/>
    <n v="1542"/>
    <s v="Medium Value"/>
  </r>
  <r>
    <s v="TRX0106"/>
    <d v="2024-10-20T00:00:00"/>
    <s v="CUST039"/>
    <s v="Lawrence Reed"/>
    <s v="P006"/>
    <s v="Office Chair"/>
    <s v="Furniture"/>
    <n v="4"/>
    <n v="199.99"/>
    <s v="Debit Card"/>
    <x v="1"/>
    <s v="Standard"/>
    <d v="2022-02-25T00:00:00"/>
    <n v="799.96"/>
    <s v="Oct"/>
    <n v="2024"/>
    <n v="1541"/>
    <s v="Medium Value"/>
  </r>
  <r>
    <s v="TRX0059"/>
    <d v="2024-10-21T00:00:00"/>
    <s v="CUST016"/>
    <s v="Elizabeth Hall"/>
    <s v="P007"/>
    <s v="Desk"/>
    <s v="Furniture"/>
    <n v="5"/>
    <n v="299.99"/>
    <s v="Debit Card"/>
    <x v="0"/>
    <s v="Basic"/>
    <d v="2022-02-26T00:00:00"/>
    <n v="1499.95"/>
    <s v="Oct"/>
    <n v="2024"/>
    <n v="1540"/>
    <s v="High Value"/>
  </r>
  <r>
    <s v="TRX0072"/>
    <d v="2024-10-22T00:00:00"/>
    <s v="CUST009"/>
    <s v="Robert Thomas"/>
    <s v="P008"/>
    <s v="Bookshelf"/>
    <s v="Furniture"/>
    <n v="3"/>
    <n v="149.99"/>
    <s v="Credit Card"/>
    <x v="4"/>
    <s v="Standard"/>
    <d v="2022-02-27T00:00:00"/>
    <n v="449.97"/>
    <s v="Oct"/>
    <n v="2024"/>
    <n v="1539"/>
    <s v="Low Value"/>
  </r>
  <r>
    <s v="TRX0110"/>
    <d v="2024-10-23T00:00:00"/>
    <s v="CUST006"/>
    <s v="Lisa Anderson"/>
    <s v="P005"/>
    <s v="Blender"/>
    <s v="Appliances"/>
    <n v="5"/>
    <n v="59.99"/>
    <s v="Debit Card"/>
    <x v="4"/>
    <s v="Basic"/>
    <d v="2022-02-28T00:00:00"/>
    <n v="299.95"/>
    <s v="Oct"/>
    <n v="2024"/>
    <n v="1538"/>
    <s v="Low Value"/>
  </r>
  <r>
    <s v="TRX0126"/>
    <d v="2024-10-24T00:00:00"/>
    <s v="CUST022"/>
    <s v="Susan Green"/>
    <s v="P005"/>
    <s v="Blender"/>
    <s v="Appliances"/>
    <n v="4"/>
    <n v="59.99"/>
    <s v="Debit Card"/>
    <x v="4"/>
    <s v="Standard"/>
    <d v="2022-03-01T00:00:00"/>
    <n v="239.96"/>
    <s v="Oct"/>
    <n v="2024"/>
    <n v="1537"/>
    <s v="Low Value"/>
  </r>
  <r>
    <s v="TRX0159"/>
    <d v="2024-10-25T00:00:00"/>
    <s v="CUST024"/>
    <s v="Dorothy Nelson"/>
    <s v="P009"/>
    <s v="Monitor"/>
    <s v="Electronics"/>
    <n v="4"/>
    <n v="249.99"/>
    <s v="Debit Card"/>
    <x v="0"/>
    <s v="Premium"/>
    <d v="2022-03-02T00:00:00"/>
    <n v="999.96"/>
    <s v="Oct"/>
    <n v="2024"/>
    <n v="1536"/>
    <s v="Medium Value"/>
  </r>
  <r>
    <s v="TRX0030"/>
    <d v="2024-10-26T00:00:00"/>
    <s v="CUST011"/>
    <s v="William White"/>
    <s v="P001"/>
    <s v="Laptop"/>
    <s v="Electronics"/>
    <n v="4"/>
    <n v="899.99"/>
    <s v="PayPal"/>
    <x v="0"/>
    <s v="Basic"/>
    <d v="2022-03-03T00:00:00"/>
    <n v="3599.96"/>
    <s v="Oct"/>
    <n v="2024"/>
    <n v="1535"/>
    <s v="VIP Customer"/>
  </r>
  <r>
    <s v="TRX0178"/>
    <d v="2024-10-27T00:00:00"/>
    <s v="CUST025"/>
    <s v="Mark Carter"/>
    <s v="P007"/>
    <s v="Desk"/>
    <s v="Furniture"/>
    <n v="3"/>
    <n v="299.99"/>
    <s v="Debit Card"/>
    <x v="3"/>
    <s v="Standard"/>
    <d v="2022-03-04T00:00:00"/>
    <n v="899.97"/>
    <s v="Oct"/>
    <n v="2024"/>
    <n v="1534"/>
    <s v="Medium Value"/>
  </r>
  <r>
    <s v="TRX0188"/>
    <d v="2024-10-28T00:00:00"/>
    <s v="CUST045"/>
    <s v="Douglas Watson"/>
    <s v="P002"/>
    <s v="Smartphone"/>
    <s v="Electronics"/>
    <n v="2"/>
    <n v="699.99"/>
    <s v="Debit Card"/>
    <x v="0"/>
    <s v="Premium"/>
    <d v="2022-03-05T00:00:00"/>
    <n v="1399.98"/>
    <s v="Oct"/>
    <n v="2024"/>
    <n v="1533"/>
    <s v="High Value"/>
  </r>
  <r>
    <s v="TRX0010"/>
    <d v="2024-10-29T00:00:00"/>
    <s v="CUST026"/>
    <s v="Karen Hill"/>
    <s v="P002"/>
    <s v="Smartphone"/>
    <s v="Electronics"/>
    <n v="4"/>
    <n v="699.99"/>
    <s v="Debit Card"/>
    <x v="3"/>
    <s v="Premium"/>
    <d v="2022-03-06T00:00:00"/>
    <n v="2799.96"/>
    <s v="Oct"/>
    <n v="2024"/>
    <n v="1532"/>
    <s v="VIP Customer"/>
  </r>
  <r>
    <s v="TRX0069"/>
    <d v="2024-10-30T00:00:00"/>
    <s v="CUST029"/>
    <s v="Edward Mitchell"/>
    <s v="P010"/>
    <s v="Keyboard"/>
    <s v="Electronics"/>
    <n v="2"/>
    <n v="89.99"/>
    <s v="Debit Card"/>
    <x v="1"/>
    <s v="Basic"/>
    <d v="2022-03-07T00:00:00"/>
    <n v="179.98"/>
    <s v="Oct"/>
    <n v="2024"/>
    <n v="1531"/>
    <s v="Low Value"/>
  </r>
  <r>
    <s v="TRX0166"/>
    <d v="2024-10-31T00:00:00"/>
    <s v="CUST003"/>
    <s v="Michael Brown"/>
    <s v="P010"/>
    <s v="Keyboard"/>
    <s v="Electronics"/>
    <n v="3"/>
    <n v="89.99"/>
    <s v="Debit Card"/>
    <x v="1"/>
    <s v="Premium"/>
    <d v="2022-03-08T00:00:00"/>
    <n v="269.97000000000003"/>
    <s v="Oct"/>
    <n v="2024"/>
    <n v="1530"/>
    <s v="Low Value"/>
  </r>
  <r>
    <s v="TRX0219"/>
    <d v="2024-11-01T00:00:00"/>
    <s v="CUST037"/>
    <s v="Arthur Edwards"/>
    <s v="P005"/>
    <s v="Blender"/>
    <s v="Appliances"/>
    <n v="1"/>
    <n v="59.99"/>
    <s v="Debit Card"/>
    <x v="0"/>
    <s v="Standard"/>
    <d v="2022-03-09T00:00:00"/>
    <n v="59.99"/>
    <s v="Nov"/>
    <n v="2024"/>
    <n v="1529"/>
    <s v="Low Value"/>
  </r>
  <r>
    <s v="TRX0024"/>
    <d v="2024-11-02T00:00:00"/>
    <s v="CUST042"/>
    <s v="Ruth Brooks"/>
    <s v="P008"/>
    <s v="Bookshelf"/>
    <s v="Furniture"/>
    <n v="3"/>
    <n v="149.99"/>
    <s v="Debit Card"/>
    <x v="2"/>
    <s v="Premium"/>
    <d v="2022-03-10T00:00:00"/>
    <n v="449.97"/>
    <s v="Nov"/>
    <n v="2024"/>
    <n v="1528"/>
    <s v="Low Value"/>
  </r>
  <r>
    <s v="TRX0105"/>
    <d v="2024-11-03T00:00:00"/>
    <s v="CUST048"/>
    <s v="Virginia Sanders"/>
    <s v="P007"/>
    <s v="Desk"/>
    <s v="Furniture"/>
    <n v="5"/>
    <n v="299.99"/>
    <s v="Credit Card"/>
    <x v="1"/>
    <s v="Basic"/>
    <d v="2022-03-11T00:00:00"/>
    <n v="1499.95"/>
    <s v="Nov"/>
    <n v="2024"/>
    <n v="1527"/>
    <s v="High Value"/>
  </r>
  <r>
    <s v="TRX0011"/>
    <d v="2024-11-04T00:00:00"/>
    <s v="CUST040"/>
    <s v="Sharon Butler"/>
    <s v="P005"/>
    <s v="Blender"/>
    <s v="Appliances"/>
    <n v="5"/>
    <n v="59.99"/>
    <s v="Debit Card"/>
    <x v="0"/>
    <s v="Standard"/>
    <d v="2022-03-12T00:00:00"/>
    <n v="299.95"/>
    <s v="Nov"/>
    <n v="2024"/>
    <n v="1526"/>
    <s v="Low Value"/>
  </r>
  <r>
    <s v="TRX0187"/>
    <d v="2024-11-05T00:00:00"/>
    <s v="CUST036"/>
    <s v="Nancy Collins"/>
    <s v="P004"/>
    <s v="Coffee Maker"/>
    <s v="Appliances"/>
    <n v="3"/>
    <n v="79.989999999999995"/>
    <s v="Cash"/>
    <x v="4"/>
    <s v="Premium"/>
    <d v="2022-03-13T00:00:00"/>
    <n v="239.97"/>
    <s v="Nov"/>
    <n v="2024"/>
    <n v="1525"/>
    <s v="Low Value"/>
  </r>
  <r>
    <s v="TRX0089"/>
    <d v="2024-11-06T00:00:00"/>
    <s v="CUST021"/>
    <s v="Kevin Scott"/>
    <s v="P006"/>
    <s v="Office Chair"/>
    <s v="Furniture"/>
    <n v="3"/>
    <n v="199.99"/>
    <s v="Cash"/>
    <x v="0"/>
    <s v="Basic"/>
    <d v="2022-03-14T00:00:00"/>
    <n v="599.97"/>
    <s v="Nov"/>
    <n v="2024"/>
    <n v="1524"/>
    <s v="Medium Value"/>
  </r>
  <r>
    <s v="TRX0196"/>
    <d v="2024-11-07T00:00:00"/>
    <s v="CUST023"/>
    <s v="Paul Baker"/>
    <s v="P010"/>
    <s v="Keyboard"/>
    <s v="Electronics"/>
    <n v="2"/>
    <n v="89.99"/>
    <s v="PayPal"/>
    <x v="0"/>
    <s v="Basic"/>
    <d v="2022-03-15T00:00:00"/>
    <n v="179.98"/>
    <s v="Nov"/>
    <n v="2024"/>
    <n v="1523"/>
    <s v="Low Value"/>
  </r>
  <r>
    <s v="TRX0118"/>
    <d v="2024-11-08T00:00:00"/>
    <s v="CUST015"/>
    <s v="Richard Lee"/>
    <s v="P008"/>
    <s v="Bookshelf"/>
    <s v="Furniture"/>
    <n v="2"/>
    <n v="149.99"/>
    <s v="Cash"/>
    <x v="1"/>
    <s v="Premium"/>
    <d v="2022-03-16T00:00:00"/>
    <n v="299.98"/>
    <s v="Nov"/>
    <n v="2024"/>
    <n v="1522"/>
    <s v="Low Value"/>
  </r>
  <r>
    <s v="TRX0179"/>
    <d v="2024-11-09T00:00:00"/>
    <s v="CUST029"/>
    <s v="Edward Mitchell"/>
    <s v="P002"/>
    <s v="Smartphone"/>
    <s v="Electronics"/>
    <n v="5"/>
    <n v="699.99"/>
    <s v="PayPal"/>
    <x v="1"/>
    <s v="Premium"/>
    <d v="2022-03-17T00:00:00"/>
    <n v="3499.95"/>
    <s v="Nov"/>
    <n v="2024"/>
    <n v="1521"/>
    <s v="VIP Customer"/>
  </r>
  <r>
    <s v="TRX0168"/>
    <d v="2024-11-10T00:00:00"/>
    <s v="CUST003"/>
    <s v="Michael Brown"/>
    <s v="P008"/>
    <s v="Bookshelf"/>
    <s v="Furniture"/>
    <n v="3"/>
    <n v="149.99"/>
    <s v="PayPal"/>
    <x v="0"/>
    <s v="Standard"/>
    <d v="2022-03-18T00:00:00"/>
    <n v="449.97"/>
    <s v="Nov"/>
    <n v="2024"/>
    <n v="1520"/>
    <s v="Low Value"/>
  </r>
  <r>
    <s v="TRX0214"/>
    <d v="2024-11-11T00:00:00"/>
    <s v="CUST018"/>
    <s v="Barbara Young"/>
    <s v="P001"/>
    <s v="Laptop"/>
    <s v="Electronics"/>
    <n v="3"/>
    <n v="899.99"/>
    <s v="Cash"/>
    <x v="4"/>
    <s v="Standard"/>
    <d v="2022-03-19T00:00:00"/>
    <n v="2699.97"/>
    <s v="Nov"/>
    <n v="2024"/>
    <n v="1519"/>
    <s v="VIP Customer"/>
  </r>
  <r>
    <s v="TRX0221"/>
    <d v="2024-11-12T00:00:00"/>
    <s v="CUST033"/>
    <s v="Frank Torres"/>
    <s v="P006"/>
    <s v="Office Chair"/>
    <s v="Furniture"/>
    <n v="3"/>
    <n v="199.99"/>
    <s v="Cash"/>
    <x v="3"/>
    <s v="Premium"/>
    <d v="2022-03-20T00:00:00"/>
    <n v="599.97"/>
    <s v="Nov"/>
    <n v="2024"/>
    <n v="1518"/>
    <s v="Medium Value"/>
  </r>
  <r>
    <s v="TRX0083"/>
    <d v="2024-11-13T00:00:00"/>
    <s v="CUST017"/>
    <s v="Charles Allen"/>
    <s v="P007"/>
    <s v="Desk"/>
    <s v="Furniture"/>
    <n v="5"/>
    <n v="299.99"/>
    <s v="Cash"/>
    <x v="3"/>
    <s v="Standard"/>
    <d v="2022-03-21T00:00:00"/>
    <n v="1499.95"/>
    <s v="Nov"/>
    <n v="2024"/>
    <n v="1517"/>
    <s v="High Value"/>
  </r>
  <r>
    <s v="TRX0151"/>
    <d v="2024-11-14T00:00:00"/>
    <s v="CUST040"/>
    <s v="Sharon Butler"/>
    <s v="P002"/>
    <s v="Smartphone"/>
    <s v="Electronics"/>
    <n v="1"/>
    <n v="699.99"/>
    <s v="PayPal"/>
    <x v="3"/>
    <s v="Basic"/>
    <d v="2022-03-22T00:00:00"/>
    <n v="699.99"/>
    <s v="Nov"/>
    <n v="2024"/>
    <n v="1516"/>
    <s v="Medium Value"/>
  </r>
  <r>
    <s v="TRX0047"/>
    <d v="2024-11-15T00:00:00"/>
    <s v="CUST042"/>
    <s v="Ruth Brooks"/>
    <s v="P002"/>
    <s v="Smartphone"/>
    <s v="Electronics"/>
    <n v="1"/>
    <n v="699.99"/>
    <s v="Cash"/>
    <x v="2"/>
    <s v="Premium"/>
    <d v="2022-03-23T00:00:00"/>
    <n v="699.99"/>
    <s v="Nov"/>
    <n v="2024"/>
    <n v="1515"/>
    <s v="Medium Value"/>
  </r>
  <r>
    <s v="TRX0200"/>
    <d v="2024-11-16T00:00:00"/>
    <s v="CUST037"/>
    <s v="Arthur Edwards"/>
    <s v="P008"/>
    <s v="Bookshelf"/>
    <s v="Furniture"/>
    <n v="4"/>
    <n v="149.99"/>
    <s v="PayPal"/>
    <x v="2"/>
    <s v="Premium"/>
    <d v="2022-03-24T00:00:00"/>
    <n v="599.96"/>
    <s v="Nov"/>
    <n v="2024"/>
    <n v="1514"/>
    <s v="Medium Value"/>
  </r>
  <r>
    <s v="TRX0062"/>
    <d v="2024-11-17T00:00:00"/>
    <s v="CUST016"/>
    <s v="Elizabeth Hall"/>
    <s v="P010"/>
    <s v="Keyboard"/>
    <s v="Electronics"/>
    <n v="5"/>
    <n v="89.99"/>
    <s v="PayPal"/>
    <x v="3"/>
    <s v="Premium"/>
    <d v="2022-03-25T00:00:00"/>
    <n v="449.95"/>
    <s v="Nov"/>
    <n v="2024"/>
    <n v="1513"/>
    <s v="Low Value"/>
  </r>
  <r>
    <s v="TRX0182"/>
    <d v="2024-11-18T00:00:00"/>
    <s v="CUST031"/>
    <s v="Steven Turner"/>
    <s v="P006"/>
    <s v="Office Chair"/>
    <s v="Furniture"/>
    <n v="2"/>
    <n v="199.99"/>
    <s v="Cash"/>
    <x v="0"/>
    <s v="Premium"/>
    <d v="2022-03-26T00:00:00"/>
    <n v="399.98"/>
    <s v="Nov"/>
    <n v="2024"/>
    <n v="1512"/>
    <s v="Low Value"/>
  </r>
  <r>
    <s v="TRX0229"/>
    <d v="2024-11-19T00:00:00"/>
    <s v="CUST015"/>
    <s v="Richard Lee"/>
    <s v="P005"/>
    <s v="Blender"/>
    <s v="Appliances"/>
    <n v="4"/>
    <n v="59.99"/>
    <s v="Cash"/>
    <x v="3"/>
    <s v="Standard"/>
    <d v="2022-03-27T00:00:00"/>
    <n v="239.96"/>
    <s v="Nov"/>
    <n v="2024"/>
    <n v="1511"/>
    <s v="Low Value"/>
  </r>
  <r>
    <s v="TRX0048"/>
    <d v="2024-11-20T00:00:00"/>
    <s v="CUST048"/>
    <s v="Virginia Sanders"/>
    <s v="P007"/>
    <s v="Desk"/>
    <s v="Furniture"/>
    <n v="2"/>
    <n v="299.99"/>
    <s v="PayPal"/>
    <x v="1"/>
    <s v="Basic"/>
    <d v="2022-03-28T00:00:00"/>
    <n v="599.98"/>
    <s v="Nov"/>
    <n v="2024"/>
    <n v="1510"/>
    <s v="Medium Value"/>
  </r>
  <r>
    <s v="TRX0227"/>
    <d v="2024-11-21T00:00:00"/>
    <s v="CUST017"/>
    <s v="Charles Allen"/>
    <s v="P008"/>
    <s v="Bookshelf"/>
    <s v="Furniture"/>
    <n v="2"/>
    <n v="149.99"/>
    <s v="Cash"/>
    <x v="0"/>
    <s v="Basic"/>
    <d v="2022-03-29T00:00:00"/>
    <n v="299.98"/>
    <s v="Nov"/>
    <n v="2024"/>
    <n v="1509"/>
    <s v="Low Value"/>
  </r>
  <r>
    <s v="TRX0226"/>
    <d v="2024-11-22T00:00:00"/>
    <s v="CUST039"/>
    <s v="Lawrence Reed"/>
    <s v="P002"/>
    <s v="Smartphone"/>
    <s v="Electronics"/>
    <n v="5"/>
    <n v="699.99"/>
    <s v="Debit Card"/>
    <x v="4"/>
    <s v="Premium"/>
    <d v="2022-03-30T00:00:00"/>
    <n v="3499.95"/>
    <s v="Nov"/>
    <n v="2024"/>
    <n v="1508"/>
    <s v="VIP Customer"/>
  </r>
  <r>
    <s v="TRX0053"/>
    <d v="2024-11-23T00:00:00"/>
    <s v="CUST043"/>
    <s v="Dennis Gray"/>
    <s v="P005"/>
    <s v="Blender"/>
    <s v="Appliances"/>
    <n v="5"/>
    <n v="59.99"/>
    <s v="Cash"/>
    <x v="3"/>
    <s v="Premium"/>
    <d v="2022-03-31T00:00:00"/>
    <n v="299.95"/>
    <s v="Nov"/>
    <n v="2024"/>
    <n v="1507"/>
    <s v="Low Value"/>
  </r>
  <r>
    <s v="TRX0233"/>
    <d v="2024-11-24T00:00:00"/>
    <s v="CUST023"/>
    <s v="Paul Baker"/>
    <s v="P010"/>
    <s v="Keyboard"/>
    <s v="Electronics"/>
    <n v="2"/>
    <n v="89.99"/>
    <s v="Credit Card"/>
    <x v="3"/>
    <s v="Premium"/>
    <d v="2022-04-01T00:00:00"/>
    <n v="179.98"/>
    <s v="Nov"/>
    <n v="2024"/>
    <n v="1506"/>
    <s v="Low Value"/>
  </r>
  <r>
    <s v="TRX0175"/>
    <d v="2024-11-25T00:00:00"/>
    <s v="CUST030"/>
    <s v="Helen Roberts"/>
    <s v="P009"/>
    <s v="Monitor"/>
    <s v="Electronics"/>
    <n v="5"/>
    <n v="249.99"/>
    <s v="Cash"/>
    <x v="4"/>
    <s v="Standard"/>
    <d v="2022-04-02T00:00:00"/>
    <n v="1249.95"/>
    <s v="Nov"/>
    <n v="2024"/>
    <n v="1505"/>
    <s v="High Value"/>
  </r>
  <r>
    <s v="TRX0186"/>
    <d v="2024-11-26T00:00:00"/>
    <s v="CUST039"/>
    <s v="Lawrence Reed"/>
    <s v="P008"/>
    <s v="Bookshelf"/>
    <s v="Furniture"/>
    <n v="2"/>
    <n v="149.99"/>
    <s v="PayPal"/>
    <x v="0"/>
    <s v="Premium"/>
    <d v="2022-04-03T00:00:00"/>
    <n v="299.98"/>
    <s v="Nov"/>
    <n v="2024"/>
    <n v="1504"/>
    <s v="Low Value"/>
  </r>
  <r>
    <s v="TRX0016"/>
    <d v="2024-11-27T00:00:00"/>
    <s v="CUST035"/>
    <s v="Harry Morgan"/>
    <s v="P001"/>
    <s v="Laptop"/>
    <s v="Electronics"/>
    <n v="5"/>
    <n v="899.99"/>
    <s v="PayPal"/>
    <x v="4"/>
    <s v="Premium"/>
    <d v="2022-04-04T00:00:00"/>
    <n v="4499.95"/>
    <s v="Nov"/>
    <n v="2024"/>
    <n v="1503"/>
    <s v="VIP Customer"/>
  </r>
  <r>
    <s v="TRX0199"/>
    <d v="2024-11-28T00:00:00"/>
    <s v="CUST017"/>
    <s v="Charles Allen"/>
    <s v="P008"/>
    <s v="Bookshelf"/>
    <s v="Furniture"/>
    <n v="4"/>
    <n v="149.99"/>
    <s v="Cash"/>
    <x v="0"/>
    <s v="Standard"/>
    <d v="2022-04-05T00:00:00"/>
    <n v="599.96"/>
    <s v="Nov"/>
    <n v="2024"/>
    <n v="1502"/>
    <s v="Medium Value"/>
  </r>
  <r>
    <s v="TRX0038"/>
    <d v="2024-11-29T00:00:00"/>
    <s v="CUST035"/>
    <s v="Harry Morgan"/>
    <s v="P009"/>
    <s v="Monitor"/>
    <s v="Electronics"/>
    <n v="1"/>
    <n v="249.99"/>
    <s v="Cash"/>
    <x v="2"/>
    <s v="Standard"/>
    <d v="2022-04-06T00:00:00"/>
    <n v="249.99"/>
    <s v="Nov"/>
    <n v="2024"/>
    <n v="1501"/>
    <s v="Low Value"/>
  </r>
  <r>
    <s v="TRX0014"/>
    <d v="2024-11-30T00:00:00"/>
    <s v="CUST033"/>
    <s v="Frank Torres"/>
    <s v="P005"/>
    <s v="Blender"/>
    <s v="Appliances"/>
    <n v="2"/>
    <n v="59.99"/>
    <s v="Credit Card"/>
    <x v="3"/>
    <s v="Basic"/>
    <d v="2022-04-07T00:00:00"/>
    <n v="119.98"/>
    <s v="Nov"/>
    <n v="2024"/>
    <n v="1500"/>
    <s v="Low Value"/>
  </r>
  <r>
    <s v="TRX0003"/>
    <d v="2024-12-01T00:00:00"/>
    <s v="CUST002"/>
    <s v="Emma Wilson"/>
    <s v="P008"/>
    <s v="Bookshelf"/>
    <s v="Furniture"/>
    <n v="2"/>
    <n v="149.99"/>
    <s v="Cash"/>
    <x v="3"/>
    <s v="Premium"/>
    <d v="2022-04-08T00:00:00"/>
    <n v="299.98"/>
    <s v="Dec"/>
    <n v="2024"/>
    <n v="1499"/>
    <s v="Low Value"/>
  </r>
  <r>
    <s v="TRX0124"/>
    <d v="2024-12-02T00:00:00"/>
    <s v="CUST040"/>
    <s v="Sharon Butler"/>
    <s v="P001"/>
    <s v="Laptop"/>
    <s v="Electronics"/>
    <n v="3"/>
    <n v="899.99"/>
    <s v="Debit Card"/>
    <x v="2"/>
    <s v="Premium"/>
    <d v="2022-04-09T00:00:00"/>
    <n v="2699.97"/>
    <s v="Dec"/>
    <n v="2024"/>
    <n v="1498"/>
    <s v="VIP Customer"/>
  </r>
  <r>
    <s v="TRX0013"/>
    <d v="2024-12-03T00:00:00"/>
    <s v="CUST024"/>
    <s v="Dorothy Nelson"/>
    <s v="P001"/>
    <s v="Laptop"/>
    <s v="Electronics"/>
    <n v="3"/>
    <n v="899.99"/>
    <s v="PayPal"/>
    <x v="2"/>
    <s v="Basic"/>
    <d v="2022-04-10T00:00:00"/>
    <n v="2699.97"/>
    <s v="Dec"/>
    <n v="2024"/>
    <n v="1497"/>
    <s v="VIP Customer"/>
  </r>
  <r>
    <s v="TRX0019"/>
    <d v="2024-12-04T00:00:00"/>
    <s v="CUST023"/>
    <s v="Paul Baker"/>
    <s v="P007"/>
    <s v="Desk"/>
    <s v="Furniture"/>
    <n v="3"/>
    <n v="299.99"/>
    <s v="Credit Card"/>
    <x v="3"/>
    <s v="Premium"/>
    <d v="2022-04-11T00:00:00"/>
    <n v="899.97"/>
    <s v="Dec"/>
    <n v="2024"/>
    <n v="1496"/>
    <s v="Medium Value"/>
  </r>
  <r>
    <s v="TRX0050"/>
    <d v="2024-12-05T00:00:00"/>
    <s v="CUST001"/>
    <s v="John Smith"/>
    <s v="P008"/>
    <s v="Bookshelf"/>
    <s v="Furniture"/>
    <n v="4"/>
    <n v="149.99"/>
    <s v="PayPal"/>
    <x v="3"/>
    <s v="Standard"/>
    <d v="2022-04-12T00:00:00"/>
    <n v="599.96"/>
    <s v="Dec"/>
    <n v="2024"/>
    <n v="1495"/>
    <s v="Medium Value"/>
  </r>
  <r>
    <s v="TRX0152"/>
    <d v="2024-12-06T00:00:00"/>
    <s v="CUST044"/>
    <s v="Cynthia Price"/>
    <s v="P004"/>
    <s v="Coffee Maker"/>
    <s v="Appliances"/>
    <n v="4"/>
    <n v="79.989999999999995"/>
    <s v="Credit Card"/>
    <x v="0"/>
    <s v="Basic"/>
    <d v="2022-04-13T00:00:00"/>
    <n v="319.95999999999998"/>
    <s v="Dec"/>
    <n v="2024"/>
    <n v="1494"/>
    <s v="Low Value"/>
  </r>
  <r>
    <s v="TRX0213"/>
    <d v="2024-12-07T00:00:00"/>
    <s v="CUST020"/>
    <s v="Margaret Wright"/>
    <s v="P010"/>
    <s v="Keyboard"/>
    <s v="Electronics"/>
    <n v="5"/>
    <n v="89.99"/>
    <s v="PayPal"/>
    <x v="1"/>
    <s v="Basic"/>
    <d v="2022-04-14T00:00:00"/>
    <n v="449.95"/>
    <s v="Dec"/>
    <n v="2024"/>
    <n v="1493"/>
    <s v="Low Value"/>
  </r>
  <r>
    <s v="TRX0197"/>
    <d v="2024-12-08T00:00:00"/>
    <s v="CUST048"/>
    <s v="Virginia Sanders"/>
    <s v="P008"/>
    <s v="Bookshelf"/>
    <s v="Furniture"/>
    <n v="3"/>
    <n v="149.99"/>
    <s v="PayPal"/>
    <x v="0"/>
    <s v="Standard"/>
    <d v="2022-04-15T00:00:00"/>
    <n v="449.97"/>
    <s v="Dec"/>
    <n v="2024"/>
    <n v="1492"/>
    <s v="Low Value"/>
  </r>
  <r>
    <s v="TRX0250"/>
    <d v="2024-12-09T00:00:00"/>
    <s v="CUST026"/>
    <s v="Karen Hill"/>
    <s v="P010"/>
    <s v="Keyboard"/>
    <s v="Electronics"/>
    <n v="2"/>
    <n v="89.99"/>
    <s v="Debit Card"/>
    <x v="3"/>
    <s v="Premium"/>
    <d v="2022-04-16T00:00:00"/>
    <n v="179.98"/>
    <s v="Dec"/>
    <n v="2024"/>
    <n v="1491"/>
    <s v="Low Value"/>
  </r>
  <r>
    <s v="TRX0068"/>
    <d v="2024-12-10T00:00:00"/>
    <s v="CUST044"/>
    <s v="Cynthia Price"/>
    <s v="P002"/>
    <s v="Smartphone"/>
    <s v="Electronics"/>
    <n v="2"/>
    <n v="699.99"/>
    <s v="PayPal"/>
    <x v="2"/>
    <s v="Standard"/>
    <d v="2022-04-17T00:00:00"/>
    <n v="1399.98"/>
    <s v="Dec"/>
    <n v="2024"/>
    <n v="1490"/>
    <s v="High Value"/>
  </r>
  <r>
    <s v="TRX0144"/>
    <d v="2024-12-11T00:00:00"/>
    <s v="CUST029"/>
    <s v="Edward Mitchell"/>
    <s v="P001"/>
    <s v="Laptop"/>
    <s v="Electronics"/>
    <n v="3"/>
    <n v="899.99"/>
    <s v="Cash"/>
    <x v="0"/>
    <s v="Standard"/>
    <d v="2022-04-18T00:00:00"/>
    <n v="2699.97"/>
    <s v="Dec"/>
    <n v="2024"/>
    <n v="1489"/>
    <s v="VIP Customer"/>
  </r>
  <r>
    <s v="TRX0039"/>
    <d v="2024-12-12T00:00:00"/>
    <s v="CUST048"/>
    <s v="Virginia Sanders"/>
    <s v="P004"/>
    <s v="Coffee Maker"/>
    <s v="Appliances"/>
    <n v="3"/>
    <n v="79.989999999999995"/>
    <s v="Credit Card"/>
    <x v="2"/>
    <s v="Basic"/>
    <d v="2022-04-19T00:00:00"/>
    <n v="239.97"/>
    <s v="Dec"/>
    <n v="2024"/>
    <n v="1488"/>
    <s v="Low Value"/>
  </r>
  <r>
    <s v="TRX0116"/>
    <d v="2024-12-13T00:00:00"/>
    <s v="CUST009"/>
    <s v="Robert Thomas"/>
    <s v="P010"/>
    <s v="Keyboard"/>
    <s v="Electronics"/>
    <n v="1"/>
    <n v="89.99"/>
    <s v="Debit Card"/>
    <x v="4"/>
    <s v="Basic"/>
    <d v="2022-04-20T00:00:00"/>
    <n v="89.99"/>
    <s v="Dec"/>
    <n v="2024"/>
    <n v="1487"/>
    <s v="Low Value"/>
  </r>
  <r>
    <s v="TRX0120"/>
    <d v="2024-12-14T00:00:00"/>
    <s v="CUST045"/>
    <s v="Douglas Watson"/>
    <s v="P002"/>
    <s v="Smartphone"/>
    <s v="Electronics"/>
    <n v="3"/>
    <n v="699.99"/>
    <s v="PayPal"/>
    <x v="2"/>
    <s v="Basic"/>
    <d v="2022-04-21T00:00:00"/>
    <n v="2099.9699999999998"/>
    <s v="Dec"/>
    <n v="2024"/>
    <n v="1486"/>
    <s v="VIP Customer"/>
  </r>
  <r>
    <s v="TRX0103"/>
    <d v="2024-12-15T00:00:00"/>
    <s v="CUST039"/>
    <s v="Lawrence Reed"/>
    <s v="P010"/>
    <s v="Keyboard"/>
    <s v="Electronics"/>
    <n v="2"/>
    <n v="89.99"/>
    <s v="Debit Card"/>
    <x v="4"/>
    <s v="Basic"/>
    <d v="2022-04-22T00:00:00"/>
    <n v="179.98"/>
    <s v="Dec"/>
    <n v="2024"/>
    <n v="1485"/>
    <s v="Low Value"/>
  </r>
  <r>
    <s v="TRX0064"/>
    <d v="2024-12-16T00:00:00"/>
    <s v="CUST031"/>
    <s v="Steven Turner"/>
    <s v="P010"/>
    <s v="Keyboard"/>
    <s v="Electronics"/>
    <n v="3"/>
    <n v="89.99"/>
    <s v="Debit Card"/>
    <x v="2"/>
    <s v="Premium"/>
    <d v="2022-04-23T00:00:00"/>
    <n v="269.97000000000003"/>
    <s v="Dec"/>
    <n v="2024"/>
    <n v="1484"/>
    <s v="Low Value"/>
  </r>
  <r>
    <m/>
    <m/>
    <m/>
    <m/>
    <m/>
    <m/>
    <m/>
    <m/>
    <m/>
    <m/>
    <x v="5"/>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C38F0F-046B-4E56-856F-FA42C8ABE0C9}" name="PivotTable5" cacheId="1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O4:P13" firstHeaderRow="1" firstDataRow="1" firstDataCol="1"/>
  <pivotFields count="18">
    <pivotField showAll="0"/>
    <pivotField numFmtId="164" showAll="0"/>
    <pivotField showAll="0"/>
    <pivotField showAll="0"/>
    <pivotField showAll="0"/>
    <pivotField showAll="0"/>
    <pivotField showAll="0">
      <items count="4">
        <item x="1"/>
        <item x="0"/>
        <item x="2"/>
        <item t="default"/>
      </items>
    </pivotField>
    <pivotField showAll="0"/>
    <pivotField showAll="0"/>
    <pivotField showAll="0"/>
    <pivotField showAll="0">
      <items count="6">
        <item x="0"/>
        <item x="4"/>
        <item x="2"/>
        <item x="1"/>
        <item x="3"/>
        <item t="default"/>
      </items>
    </pivotField>
    <pivotField showAll="0">
      <items count="4">
        <item x="0"/>
        <item x="1"/>
        <item x="2"/>
        <item t="default"/>
      </items>
    </pivotField>
    <pivotField numFmtId="164" showAll="0"/>
    <pivotField dataField="1" showAll="0"/>
    <pivotField axis="axisRow" showAll="0">
      <items count="10">
        <item x="0"/>
        <item x="1"/>
        <item x="2"/>
        <item x="3"/>
        <item x="4"/>
        <item x="5"/>
        <item x="6"/>
        <item x="7"/>
        <item x="8"/>
        <item t="default"/>
      </items>
    </pivotField>
    <pivotField showAll="0"/>
    <pivotField numFmtId="1" showAll="0"/>
    <pivotField showAll="0"/>
  </pivotFields>
  <rowFields count="1">
    <field x="14"/>
  </rowFields>
  <rowItems count="9">
    <i>
      <x/>
    </i>
    <i>
      <x v="1"/>
    </i>
    <i>
      <x v="2"/>
    </i>
    <i>
      <x v="3"/>
    </i>
    <i>
      <x v="4"/>
    </i>
    <i>
      <x v="5"/>
    </i>
    <i>
      <x v="6"/>
    </i>
    <i>
      <x v="7"/>
    </i>
    <i>
      <x v="8"/>
    </i>
  </rowItems>
  <colItems count="1">
    <i/>
  </colItems>
  <dataFields count="1">
    <dataField name="Sum of Total_Amount" fld="13" baseField="0" baseItem="0"/>
  </dataFields>
  <formats count="5">
    <format dxfId="856">
      <pivotArea type="all" dataOnly="0" outline="0" fieldPosition="0"/>
    </format>
    <format dxfId="855">
      <pivotArea outline="0" collapsedLevelsAreSubtotals="1" fieldPosition="0"/>
    </format>
    <format dxfId="854">
      <pivotArea field="14" type="button" dataOnly="0" labelOnly="1" outline="0" axis="axisRow" fieldPosition="0"/>
    </format>
    <format dxfId="853">
      <pivotArea dataOnly="0" labelOnly="1" fieldPosition="0">
        <references count="1">
          <reference field="14" count="0"/>
        </references>
      </pivotArea>
    </format>
    <format dxfId="852">
      <pivotArea dataOnly="0" labelOnly="1" outline="0" axis="axisValues" fieldPosition="0"/>
    </format>
  </formats>
  <chartFormats count="2">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828975-9F79-4995-8213-57E411082CC9}"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L4:M15" firstHeaderRow="1" firstDataRow="1" firstDataCol="1"/>
  <pivotFields count="18">
    <pivotField showAll="0"/>
    <pivotField numFmtId="164" showAll="0"/>
    <pivotField showAll="0"/>
    <pivotField axis="axisRow" showAll="0" measureFilter="1" sortType="descending">
      <items count="51">
        <item x="44"/>
        <item x="16"/>
        <item x="9"/>
        <item x="26"/>
        <item x="30"/>
        <item x="31"/>
        <item x="42"/>
        <item x="43"/>
        <item x="7"/>
        <item x="45"/>
        <item x="34"/>
        <item x="10"/>
        <item x="0"/>
        <item x="18"/>
        <item x="20"/>
        <item x="12"/>
        <item x="4"/>
        <item x="14"/>
        <item x="15"/>
        <item x="36"/>
        <item x="24"/>
        <item x="21"/>
        <item x="40"/>
        <item x="2"/>
        <item x="3"/>
        <item x="8"/>
        <item x="33"/>
        <item x="1"/>
        <item x="49"/>
        <item x="27"/>
        <item x="47"/>
        <item x="22"/>
        <item x="28"/>
        <item x="38"/>
        <item x="13"/>
        <item x="37"/>
        <item x="25"/>
        <item x="39"/>
        <item x="23"/>
        <item x="46"/>
        <item x="5"/>
        <item x="11"/>
        <item x="35"/>
        <item x="29"/>
        <item x="19"/>
        <item x="6"/>
        <item x="41"/>
        <item x="32"/>
        <item x="17"/>
        <item x="48"/>
        <item t="default"/>
      </items>
    </pivotField>
    <pivotField showAll="0"/>
    <pivotField showAll="0"/>
    <pivotField showAll="0">
      <items count="4">
        <item x="1"/>
        <item x="0"/>
        <item x="2"/>
        <item t="default"/>
      </items>
    </pivotField>
    <pivotField showAll="0"/>
    <pivotField showAll="0"/>
    <pivotField showAll="0"/>
    <pivotField showAll="0">
      <items count="6">
        <item x="0"/>
        <item x="4"/>
        <item x="2"/>
        <item x="1"/>
        <item x="3"/>
        <item t="default"/>
      </items>
    </pivotField>
    <pivotField showAll="0">
      <items count="4">
        <item x="0"/>
        <item x="1"/>
        <item x="2"/>
        <item t="default"/>
      </items>
    </pivotField>
    <pivotField numFmtId="164" showAll="0"/>
    <pivotField dataField="1" showAll="0"/>
    <pivotField showAll="0"/>
    <pivotField showAll="0"/>
    <pivotField numFmtId="1" showAll="0"/>
    <pivotField showAll="0"/>
  </pivotFields>
  <rowFields count="1">
    <field x="3"/>
  </rowFields>
  <rowItems count="11">
    <i>
      <x v="12"/>
    </i>
    <i>
      <x v="13"/>
    </i>
    <i>
      <x v="17"/>
    </i>
    <i>
      <x v="22"/>
    </i>
    <i>
      <x v="25"/>
    </i>
    <i>
      <x v="27"/>
    </i>
    <i>
      <x v="38"/>
    </i>
    <i>
      <x v="40"/>
    </i>
    <i>
      <x v="43"/>
    </i>
    <i>
      <x v="48"/>
    </i>
    <i t="grand">
      <x/>
    </i>
  </rowItems>
  <colItems count="1">
    <i/>
  </colItems>
  <dataFields count="1">
    <dataField name="Sum of Total_Amount" fld="13" baseField="0" baseItem="0"/>
  </dataFields>
  <formats count="6">
    <format dxfId="851">
      <pivotArea type="all" dataOnly="0" outline="0" fieldPosition="0"/>
    </format>
    <format dxfId="850">
      <pivotArea outline="0" collapsedLevelsAreSubtotals="1" fieldPosition="0"/>
    </format>
    <format dxfId="849">
      <pivotArea field="3" type="button" dataOnly="0" labelOnly="1" outline="0" axis="axisRow" fieldPosition="0"/>
    </format>
    <format dxfId="848">
      <pivotArea dataOnly="0" labelOnly="1" fieldPosition="0">
        <references count="1">
          <reference field="3" count="10">
            <x v="12"/>
            <x v="13"/>
            <x v="17"/>
            <x v="22"/>
            <x v="25"/>
            <x v="27"/>
            <x v="38"/>
            <x v="40"/>
            <x v="43"/>
            <x v="48"/>
          </reference>
        </references>
      </pivotArea>
    </format>
    <format dxfId="847">
      <pivotArea dataOnly="0" labelOnly="1" grandRow="1" outline="0" fieldPosition="0"/>
    </format>
    <format dxfId="846">
      <pivotArea dataOnly="0" labelOnly="1" outline="0" axis="axisValues" fieldPosition="0"/>
    </format>
  </formats>
  <chartFormats count="2">
    <chartFormat chart="1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FA3D88-62D4-4B23-9A51-740B3B62FE98}"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I4:J9" firstHeaderRow="1" firstDataRow="1" firstDataCol="1"/>
  <pivotFields count="18">
    <pivotField showAll="0"/>
    <pivotField numFmtId="164" showAll="0"/>
    <pivotField showAll="0"/>
    <pivotField showAll="0"/>
    <pivotField showAll="0"/>
    <pivotField showAll="0"/>
    <pivotField showAll="0">
      <items count="4">
        <item x="1"/>
        <item x="0"/>
        <item x="2"/>
        <item t="default"/>
      </items>
    </pivotField>
    <pivotField showAll="0"/>
    <pivotField showAll="0"/>
    <pivotField axis="axisRow" showAll="0">
      <items count="5">
        <item x="0"/>
        <item x="1"/>
        <item x="3"/>
        <item x="2"/>
        <item t="default"/>
      </items>
    </pivotField>
    <pivotField showAll="0">
      <items count="6">
        <item x="0"/>
        <item x="4"/>
        <item x="2"/>
        <item x="1"/>
        <item x="3"/>
        <item t="default"/>
      </items>
    </pivotField>
    <pivotField showAll="0">
      <items count="4">
        <item x="0"/>
        <item x="1"/>
        <item x="2"/>
        <item t="default"/>
      </items>
    </pivotField>
    <pivotField numFmtId="164" showAll="0"/>
    <pivotField dataField="1" showAll="0"/>
    <pivotField showAll="0"/>
    <pivotField showAll="0"/>
    <pivotField numFmtId="1" showAll="0"/>
    <pivotField showAll="0"/>
  </pivotFields>
  <rowFields count="1">
    <field x="9"/>
  </rowFields>
  <rowItems count="5">
    <i>
      <x/>
    </i>
    <i>
      <x v="1"/>
    </i>
    <i>
      <x v="2"/>
    </i>
    <i>
      <x v="3"/>
    </i>
    <i t="grand">
      <x/>
    </i>
  </rowItems>
  <colItems count="1">
    <i/>
  </colItems>
  <dataFields count="1">
    <dataField name="Sum of Total_Amount" fld="13" baseField="0" baseItem="0"/>
  </dataFields>
  <formats count="6">
    <format dxfId="845">
      <pivotArea type="all" dataOnly="0" outline="0" fieldPosition="0"/>
    </format>
    <format dxfId="844">
      <pivotArea outline="0" collapsedLevelsAreSubtotals="1" fieldPosition="0"/>
    </format>
    <format dxfId="843">
      <pivotArea field="9" type="button" dataOnly="0" labelOnly="1" outline="0" axis="axisRow" fieldPosition="0"/>
    </format>
    <format dxfId="842">
      <pivotArea dataOnly="0" labelOnly="1" fieldPosition="0">
        <references count="1">
          <reference field="9" count="0"/>
        </references>
      </pivotArea>
    </format>
    <format dxfId="841">
      <pivotArea dataOnly="0" labelOnly="1" grandRow="1" outline="0" fieldPosition="0"/>
    </format>
    <format dxfId="840">
      <pivotArea dataOnly="0" labelOnly="1" outline="0" axis="axisValues" fieldPosition="0"/>
    </format>
  </formats>
  <chartFormats count="6">
    <chartFormat chart="5"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9" count="1" selected="0">
            <x v="0"/>
          </reference>
        </references>
      </pivotArea>
    </chartFormat>
    <chartFormat chart="14" format="8">
      <pivotArea type="data" outline="0" fieldPosition="0">
        <references count="2">
          <reference field="4294967294" count="1" selected="0">
            <x v="0"/>
          </reference>
          <reference field="9" count="1" selected="0">
            <x v="1"/>
          </reference>
        </references>
      </pivotArea>
    </chartFormat>
    <chartFormat chart="14" format="9">
      <pivotArea type="data" outline="0" fieldPosition="0">
        <references count="2">
          <reference field="4294967294" count="1" selected="0">
            <x v="0"/>
          </reference>
          <reference field="9" count="1" selected="0">
            <x v="2"/>
          </reference>
        </references>
      </pivotArea>
    </chartFormat>
    <chartFormat chart="14" format="1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A810F3-1209-4D7E-95DC-A8E5A3F51F54}"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F4:G10" firstHeaderRow="1" firstDataRow="1" firstDataCol="1"/>
  <pivotFields count="18">
    <pivotField showAll="0"/>
    <pivotField showAll="0"/>
    <pivotField showAll="0"/>
    <pivotField showAll="0"/>
    <pivotField showAll="0"/>
    <pivotField showAll="0"/>
    <pivotField showAll="0"/>
    <pivotField showAll="0"/>
    <pivotField showAll="0"/>
    <pivotField showAll="0"/>
    <pivotField axis="axisRow" showAll="0">
      <items count="7">
        <item x="0"/>
        <item x="4"/>
        <item x="2"/>
        <item x="1"/>
        <item x="3"/>
        <item h="1" x="5"/>
        <item t="default"/>
      </items>
    </pivotField>
    <pivotField showAll="0"/>
    <pivotField showAll="0"/>
    <pivotField dataField="1" showAll="0"/>
    <pivotField showAll="0"/>
    <pivotField showAll="0"/>
    <pivotField showAll="0"/>
    <pivotField showAll="0"/>
  </pivotFields>
  <rowFields count="1">
    <field x="10"/>
  </rowFields>
  <rowItems count="6">
    <i>
      <x/>
    </i>
    <i>
      <x v="1"/>
    </i>
    <i>
      <x v="2"/>
    </i>
    <i>
      <x v="3"/>
    </i>
    <i>
      <x v="4"/>
    </i>
    <i t="grand">
      <x/>
    </i>
  </rowItems>
  <colItems count="1">
    <i/>
  </colItems>
  <dataFields count="1">
    <dataField name="Sum of Total_Amount" fld="13" baseField="0" baseItem="0"/>
  </dataFields>
  <formats count="6">
    <format dxfId="839">
      <pivotArea type="all" dataOnly="0" outline="0" fieldPosition="0"/>
    </format>
    <format dxfId="838">
      <pivotArea outline="0" collapsedLevelsAreSubtotals="1" fieldPosition="0"/>
    </format>
    <format dxfId="837">
      <pivotArea field="10" type="button" dataOnly="0" labelOnly="1" outline="0" axis="axisRow" fieldPosition="0"/>
    </format>
    <format dxfId="836">
      <pivotArea dataOnly="0" labelOnly="1" fieldPosition="0">
        <references count="1">
          <reference field="10" count="0"/>
        </references>
      </pivotArea>
    </format>
    <format dxfId="835">
      <pivotArea dataOnly="0" labelOnly="1" grandRow="1" outline="0" fieldPosition="0"/>
    </format>
    <format dxfId="834">
      <pivotArea dataOnly="0" labelOnly="1" outline="0" axis="axisValues" fieldPosition="0"/>
    </format>
  </formats>
  <chartFormats count="2">
    <chartFormat chart="21"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28F52E-FFD0-4E3F-9CF5-7F832529F20D}"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C4:D8" firstHeaderRow="1" firstDataRow="1" firstDataCol="1"/>
  <pivotFields count="18">
    <pivotField showAll="0"/>
    <pivotField numFmtId="164" showAll="0"/>
    <pivotField showAll="0"/>
    <pivotField showAll="0"/>
    <pivotField showAll="0"/>
    <pivotField showAll="0"/>
    <pivotField axis="axisRow" showAll="0">
      <items count="4">
        <item x="1"/>
        <item x="0"/>
        <item x="2"/>
        <item t="default"/>
      </items>
    </pivotField>
    <pivotField showAll="0"/>
    <pivotField showAll="0"/>
    <pivotField showAll="0"/>
    <pivotField showAll="0">
      <items count="6">
        <item x="0"/>
        <item x="4"/>
        <item x="2"/>
        <item x="1"/>
        <item x="3"/>
        <item t="default"/>
      </items>
    </pivotField>
    <pivotField showAll="0">
      <items count="4">
        <item x="0"/>
        <item x="1"/>
        <item x="2"/>
        <item t="default"/>
      </items>
    </pivotField>
    <pivotField numFmtId="164" showAll="0"/>
    <pivotField dataField="1" showAll="0"/>
    <pivotField showAll="0"/>
    <pivotField showAll="0"/>
    <pivotField numFmtId="1" showAll="0"/>
    <pivotField showAll="0"/>
  </pivotFields>
  <rowFields count="1">
    <field x="6"/>
  </rowFields>
  <rowItems count="4">
    <i>
      <x/>
    </i>
    <i>
      <x v="1"/>
    </i>
    <i>
      <x v="2"/>
    </i>
    <i t="grand">
      <x/>
    </i>
  </rowItems>
  <colItems count="1">
    <i/>
  </colItems>
  <dataFields count="1">
    <dataField name="Sum of Total_Amount" fld="13" baseField="0" baseItem="0"/>
  </dataFields>
  <formats count="6">
    <format dxfId="833">
      <pivotArea type="all" dataOnly="0" outline="0" fieldPosition="0"/>
    </format>
    <format dxfId="832">
      <pivotArea outline="0" collapsedLevelsAreSubtotals="1" fieldPosition="0"/>
    </format>
    <format dxfId="831">
      <pivotArea field="6" type="button" dataOnly="0" labelOnly="1" outline="0" axis="axisRow" fieldPosition="0"/>
    </format>
    <format dxfId="830">
      <pivotArea dataOnly="0" labelOnly="1" fieldPosition="0">
        <references count="1">
          <reference field="6" count="0"/>
        </references>
      </pivotArea>
    </format>
    <format dxfId="829">
      <pivotArea dataOnly="0" labelOnly="1" grandRow="1" outline="0" fieldPosition="0"/>
    </format>
    <format dxfId="828">
      <pivotArea dataOnly="0" labelOnly="1" outline="0" axis="axisValues" fieldPosition="0"/>
    </format>
  </formats>
  <chartFormats count="2">
    <chartFormat chart="25"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1740A62-F07B-4A9A-91E4-4EBF0FF73585}" sourceName="Category">
  <pivotTables>
    <pivotTable tabId="3" name="PivotTable1"/>
    <pivotTable tabId="3" name="PivotTable3"/>
    <pivotTable tabId="3" name="PivotTable4"/>
    <pivotTable tabId="3" name="PivotTable5"/>
  </pivotTables>
  <data>
    <tabular pivotCacheId="2128739479">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AF61320-1200-495C-B645-8B11A4E117E8}" sourceName="Region">
  <pivotTables>
    <pivotTable tabId="3" name="PivotTable1"/>
    <pivotTable tabId="3" name="PivotTable3"/>
    <pivotTable tabId="3" name="PivotTable4"/>
    <pivotTable tabId="3" name="PivotTable5"/>
  </pivotTables>
  <data>
    <tabular pivotCacheId="212873947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060327A8-65DA-484F-A146-F0760AB322AF}" sourceName="Customer_Segment">
  <pivotTables>
    <pivotTable tabId="3" name="PivotTable1"/>
    <pivotTable tabId="3" name="PivotTable3"/>
    <pivotTable tabId="3" name="PivotTable4"/>
    <pivotTable tabId="3" name="PivotTable5"/>
  </pivotTables>
  <data>
    <tabular pivotCacheId="212873947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AFFAB53-12C4-4B31-B5BB-6BE269D6D981}" cache="Slicer_Category" caption="Category" rowHeight="241300"/>
  <slicer name="Region" xr10:uid="{CCE9C0F3-9BE6-44EE-9163-3F21200902AD}" cache="Slicer_Region" caption="Region" rowHeight="241300"/>
  <slicer name="Customer_Segment" xr10:uid="{3DD809B9-D2DF-429B-9610-62A9A451488F}" cache="Slicer_Customer_Segment" caption="Customer_Segm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4AAEAA73-77FD-488F-8C82-665E368B2A77}" cache="Slicer_Category" caption="Category" rowHeight="241300"/>
  <slicer name="Region 1" xr10:uid="{19FF95CD-0A83-429E-8867-7989C9E10163}" cache="Slicer_Region" caption="Region" rowHeight="241300"/>
  <slicer name="Customer_Segment 1" xr10:uid="{CAA4CE8C-11F7-43CD-AEA8-1D92D64ED210}" cache="Slicer_Customer_Segment" caption="Customer_Seg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ustomerData" displayName="CustomerData" ref="A1:R251" headerRowDxfId="879" dataDxfId="877" totalsRowDxfId="875" headerRowBorderDxfId="878" tableBorderDxfId="876">
  <tableColumns count="18">
    <tableColumn id="1" xr3:uid="{00000000-0010-0000-0000-000001000000}" name="Transaction_ID" dataDxfId="874"/>
    <tableColumn id="2" xr3:uid="{00000000-0010-0000-0000-000002000000}" name="Date" dataDxfId="873"/>
    <tableColumn id="3" xr3:uid="{00000000-0010-0000-0000-000003000000}" name="Customer_ID" dataDxfId="872"/>
    <tableColumn id="4" xr3:uid="{00000000-0010-0000-0000-000004000000}" name="Customer_Name" dataDxfId="871"/>
    <tableColumn id="5" xr3:uid="{00000000-0010-0000-0000-000005000000}" name="Product_ID" dataDxfId="870"/>
    <tableColumn id="6" xr3:uid="{00000000-0010-0000-0000-000006000000}" name="Product_Name" dataDxfId="869"/>
    <tableColumn id="7" xr3:uid="{00000000-0010-0000-0000-000007000000}" name="Category" dataDxfId="868"/>
    <tableColumn id="8" xr3:uid="{00000000-0010-0000-0000-000008000000}" name="Quantity" dataDxfId="867"/>
    <tableColumn id="9" xr3:uid="{00000000-0010-0000-0000-000009000000}" name="Unit_Price" dataDxfId="866"/>
    <tableColumn id="10" xr3:uid="{00000000-0010-0000-0000-00000A000000}" name="Payment_Method" dataDxfId="865"/>
    <tableColumn id="11" xr3:uid="{00000000-0010-0000-0000-00000B000000}" name="Region" dataDxfId="864"/>
    <tableColumn id="12" xr3:uid="{00000000-0010-0000-0000-00000C000000}" name="Customer_Segment" dataDxfId="863"/>
    <tableColumn id="13" xr3:uid="{00000000-0010-0000-0000-00000D000000}" name="Customer_Since" dataDxfId="862"/>
    <tableColumn id="14" xr3:uid="{00000000-0010-0000-0000-00000E000000}" name="Total_Amount" dataDxfId="861"/>
    <tableColumn id="15" xr3:uid="{00000000-0010-0000-0000-00000F000000}" name="Month" dataDxfId="860">
      <calculatedColumnFormula>TEXT(CustomerData[[#This Row],[Date]],"mmm")</calculatedColumnFormula>
    </tableColumn>
    <tableColumn id="16" xr3:uid="{00000000-0010-0000-0000-000010000000}" name="Year" dataDxfId="859">
      <calculatedColumnFormula>YEAR(CustomerData[[#This Row],[Date]])</calculatedColumnFormula>
    </tableColumn>
    <tableColumn id="17" xr3:uid="{00000000-0010-0000-0000-000011000000}" name="Days_As_Customer" dataDxfId="858">
      <calculatedColumnFormula>TODAY()-M2</calculatedColumnFormula>
    </tableColumn>
    <tableColumn id="18" xr3:uid="{00000000-0010-0000-0000-000012000000}" name="Customer_Level" dataDxfId="857">
      <calculatedColumnFormula>IF(N2&gt;=2000,"VIP Customer",IF(N2&gt;=1000,"High Value",IF(N2&gt;=500,"Medium Value","Low Value")))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249977111117893"/>
  </sheetPr>
  <dimension ref="A1:R251"/>
  <sheetViews>
    <sheetView tabSelected="1" topLeftCell="B1" zoomScale="85" zoomScaleNormal="85" workbookViewId="0">
      <selection activeCell="J13" sqref="J13"/>
    </sheetView>
  </sheetViews>
  <sheetFormatPr defaultRowHeight="14.5" x14ac:dyDescent="0.35"/>
  <cols>
    <col min="1" max="1" width="18.08984375" bestFit="1" customWidth="1"/>
    <col min="2" max="2" width="16.7265625" bestFit="1" customWidth="1"/>
    <col min="3" max="3" width="16.36328125" bestFit="1" customWidth="1"/>
    <col min="4" max="4" width="19.54296875" bestFit="1" customWidth="1"/>
    <col min="5" max="5" width="14.81640625" bestFit="1" customWidth="1"/>
    <col min="6" max="6" width="18" bestFit="1" customWidth="1"/>
    <col min="7" max="7" width="12.81640625" bestFit="1" customWidth="1"/>
    <col min="8" max="8" width="12.7265625" bestFit="1" customWidth="1"/>
    <col min="9" max="9" width="14" bestFit="1" customWidth="1"/>
    <col min="10" max="10" width="20.6328125" bestFit="1" customWidth="1"/>
    <col min="11" max="11" width="11" bestFit="1" customWidth="1"/>
    <col min="12" max="12" width="22" bestFit="1" customWidth="1"/>
    <col min="13" max="13" width="18.90625" bestFit="1" customWidth="1"/>
    <col min="14" max="14" width="17.54296875" bestFit="1" customWidth="1"/>
    <col min="15" max="15" width="11.08984375" bestFit="1" customWidth="1"/>
    <col min="16" max="16" width="9.08984375" bestFit="1" customWidth="1"/>
    <col min="17" max="17" width="21.7265625" bestFit="1" customWidth="1"/>
    <col min="18" max="18" width="18.81640625" bestFit="1" customWidth="1"/>
    <col min="19" max="19" width="16.1796875" bestFit="1" customWidth="1"/>
  </cols>
  <sheetData>
    <row r="1" spans="1:18" x14ac:dyDescent="0.35">
      <c r="A1" s="4"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6" t="s">
        <v>17</v>
      </c>
    </row>
    <row r="2" spans="1:18" x14ac:dyDescent="0.35">
      <c r="A2" s="7" t="s">
        <v>18</v>
      </c>
      <c r="B2" s="8">
        <v>45393</v>
      </c>
      <c r="C2" s="9" t="s">
        <v>19</v>
      </c>
      <c r="D2" s="9" t="s">
        <v>20</v>
      </c>
      <c r="E2" s="9" t="s">
        <v>21</v>
      </c>
      <c r="F2" s="9" t="s">
        <v>22</v>
      </c>
      <c r="G2" s="9" t="s">
        <v>23</v>
      </c>
      <c r="H2" s="9">
        <v>3</v>
      </c>
      <c r="I2" s="9">
        <v>249.99</v>
      </c>
      <c r="J2" s="9" t="s">
        <v>24</v>
      </c>
      <c r="K2" s="9" t="s">
        <v>25</v>
      </c>
      <c r="L2" s="9" t="s">
        <v>26</v>
      </c>
      <c r="M2" s="8">
        <v>44425</v>
      </c>
      <c r="N2" s="9">
        <v>749.97</v>
      </c>
      <c r="O2" s="20" t="str">
        <f>TEXT(CustomerData[[#This Row],[Date]],"mmm")</f>
        <v>Apr</v>
      </c>
      <c r="P2" s="9">
        <f>YEAR(CustomerData[[#This Row],[Date]])</f>
        <v>2024</v>
      </c>
      <c r="Q2" s="10">
        <f ca="1">TODAY()-M2</f>
        <v>1733</v>
      </c>
      <c r="R2" s="11" t="str">
        <f>IF(N2&gt;=2000,"VIP Customer",IF(N2&gt;=1000,"High Value",IF(N2&gt;=500,"Medium Value","Low Value")))</f>
        <v>Medium Value</v>
      </c>
    </row>
    <row r="3" spans="1:18" x14ac:dyDescent="0.35">
      <c r="A3" s="7" t="s">
        <v>28</v>
      </c>
      <c r="B3" s="8">
        <v>45394</v>
      </c>
      <c r="C3" s="9" t="s">
        <v>29</v>
      </c>
      <c r="D3" s="9" t="s">
        <v>30</v>
      </c>
      <c r="E3" s="9" t="s">
        <v>21</v>
      </c>
      <c r="F3" s="9" t="s">
        <v>22</v>
      </c>
      <c r="G3" s="9" t="s">
        <v>23</v>
      </c>
      <c r="H3" s="9">
        <v>3</v>
      </c>
      <c r="I3" s="9">
        <v>249.99</v>
      </c>
      <c r="J3" s="9" t="s">
        <v>31</v>
      </c>
      <c r="K3" s="9" t="s">
        <v>25</v>
      </c>
      <c r="L3" s="9" t="s">
        <v>32</v>
      </c>
      <c r="M3" s="8">
        <v>44426</v>
      </c>
      <c r="N3" s="9">
        <v>749.97</v>
      </c>
      <c r="O3" s="20" t="str">
        <f>TEXT(CustomerData[[#This Row],[Date]],"mmm")</f>
        <v>Apr</v>
      </c>
      <c r="P3" s="9">
        <f>YEAR(CustomerData[[#This Row],[Date]])</f>
        <v>2024</v>
      </c>
      <c r="Q3" s="10">
        <f t="shared" ref="Q3:Q66" ca="1" si="0">TODAY()-M3</f>
        <v>1732</v>
      </c>
      <c r="R3" s="11" t="str">
        <f t="shared" ref="R3:R66" si="1">IF(N3&gt;=2000,"VIP Customer",IF(N3&gt;=1000,"High Value",IF(N3&gt;=500,"Medium Value","Low Value")))</f>
        <v>Medium Value</v>
      </c>
    </row>
    <row r="4" spans="1:18" x14ac:dyDescent="0.35">
      <c r="A4" s="7" t="s">
        <v>33</v>
      </c>
      <c r="B4" s="8">
        <v>45395</v>
      </c>
      <c r="C4" s="9" t="s">
        <v>34</v>
      </c>
      <c r="D4" s="9" t="s">
        <v>35</v>
      </c>
      <c r="E4" s="9" t="s">
        <v>36</v>
      </c>
      <c r="F4" s="9" t="s">
        <v>37</v>
      </c>
      <c r="G4" s="9" t="s">
        <v>38</v>
      </c>
      <c r="H4" s="9">
        <v>3</v>
      </c>
      <c r="I4" s="9">
        <v>59.99</v>
      </c>
      <c r="J4" s="9" t="s">
        <v>39</v>
      </c>
      <c r="K4" s="9" t="s">
        <v>40</v>
      </c>
      <c r="L4" s="9" t="s">
        <v>41</v>
      </c>
      <c r="M4" s="8">
        <v>44427</v>
      </c>
      <c r="N4" s="9">
        <v>179.97</v>
      </c>
      <c r="O4" s="20" t="str">
        <f>TEXT(CustomerData[[#This Row],[Date]],"mmm")</f>
        <v>Apr</v>
      </c>
      <c r="P4" s="9">
        <f>YEAR(CustomerData[[#This Row],[Date]])</f>
        <v>2024</v>
      </c>
      <c r="Q4" s="10">
        <f t="shared" ca="1" si="0"/>
        <v>1731</v>
      </c>
      <c r="R4" s="11" t="str">
        <f t="shared" si="1"/>
        <v>Low Value</v>
      </c>
    </row>
    <row r="5" spans="1:18" x14ac:dyDescent="0.35">
      <c r="A5" s="7" t="s">
        <v>42</v>
      </c>
      <c r="B5" s="8">
        <v>45396</v>
      </c>
      <c r="C5" s="9" t="s">
        <v>43</v>
      </c>
      <c r="D5" s="9" t="s">
        <v>44</v>
      </c>
      <c r="E5" s="9" t="s">
        <v>36</v>
      </c>
      <c r="F5" s="9" t="s">
        <v>37</v>
      </c>
      <c r="G5" s="9" t="s">
        <v>38</v>
      </c>
      <c r="H5" s="9">
        <v>3</v>
      </c>
      <c r="I5" s="9">
        <v>59.99</v>
      </c>
      <c r="J5" s="9" t="s">
        <v>24</v>
      </c>
      <c r="K5" s="9" t="s">
        <v>45</v>
      </c>
      <c r="L5" s="9" t="s">
        <v>32</v>
      </c>
      <c r="M5" s="8">
        <v>44428</v>
      </c>
      <c r="N5" s="9">
        <v>179.97</v>
      </c>
      <c r="O5" s="20" t="str">
        <f>TEXT(CustomerData[[#This Row],[Date]],"mmm")</f>
        <v>Apr</v>
      </c>
      <c r="P5" s="9">
        <f>YEAR(CustomerData[[#This Row],[Date]])</f>
        <v>2024</v>
      </c>
      <c r="Q5" s="10">
        <f t="shared" ca="1" si="0"/>
        <v>1730</v>
      </c>
      <c r="R5" s="11" t="str">
        <f t="shared" si="1"/>
        <v>Low Value</v>
      </c>
    </row>
    <row r="6" spans="1:18" x14ac:dyDescent="0.35">
      <c r="A6" s="7" t="s">
        <v>46</v>
      </c>
      <c r="B6" s="8">
        <v>45397</v>
      </c>
      <c r="C6" s="9" t="s">
        <v>47</v>
      </c>
      <c r="D6" s="9" t="s">
        <v>48</v>
      </c>
      <c r="E6" s="9" t="s">
        <v>49</v>
      </c>
      <c r="F6" s="9" t="s">
        <v>50</v>
      </c>
      <c r="G6" s="9" t="s">
        <v>51</v>
      </c>
      <c r="H6" s="9">
        <v>5</v>
      </c>
      <c r="I6" s="9">
        <v>149.99</v>
      </c>
      <c r="J6" s="9" t="s">
        <v>31</v>
      </c>
      <c r="K6" s="9" t="s">
        <v>45</v>
      </c>
      <c r="L6" s="9" t="s">
        <v>32</v>
      </c>
      <c r="M6" s="8">
        <v>44429</v>
      </c>
      <c r="N6" s="9">
        <v>749.95</v>
      </c>
      <c r="O6" s="20" t="str">
        <f>TEXT(CustomerData[[#This Row],[Date]],"mmm")</f>
        <v>Apr</v>
      </c>
      <c r="P6" s="9">
        <f>YEAR(CustomerData[[#This Row],[Date]])</f>
        <v>2024</v>
      </c>
      <c r="Q6" s="10">
        <f t="shared" ca="1" si="0"/>
        <v>1729</v>
      </c>
      <c r="R6" s="11" t="str">
        <f t="shared" si="1"/>
        <v>Medium Value</v>
      </c>
    </row>
    <row r="7" spans="1:18" x14ac:dyDescent="0.35">
      <c r="A7" s="7" t="s">
        <v>52</v>
      </c>
      <c r="B7" s="8">
        <v>45398</v>
      </c>
      <c r="C7" s="9" t="s">
        <v>53</v>
      </c>
      <c r="D7" s="9" t="s">
        <v>54</v>
      </c>
      <c r="E7" s="9" t="s">
        <v>36</v>
      </c>
      <c r="F7" s="9" t="s">
        <v>37</v>
      </c>
      <c r="G7" s="9" t="s">
        <v>38</v>
      </c>
      <c r="H7" s="9">
        <v>2</v>
      </c>
      <c r="I7" s="9">
        <v>59.99</v>
      </c>
      <c r="J7" s="9" t="s">
        <v>24</v>
      </c>
      <c r="K7" s="9" t="s">
        <v>55</v>
      </c>
      <c r="L7" s="9" t="s">
        <v>41</v>
      </c>
      <c r="M7" s="8">
        <v>44430</v>
      </c>
      <c r="N7" s="9">
        <v>119.98</v>
      </c>
      <c r="O7" s="20" t="str">
        <f>TEXT(CustomerData[[#This Row],[Date]],"mmm")</f>
        <v>Apr</v>
      </c>
      <c r="P7" s="9">
        <f>YEAR(CustomerData[[#This Row],[Date]])</f>
        <v>2024</v>
      </c>
      <c r="Q7" s="10">
        <f t="shared" ca="1" si="0"/>
        <v>1728</v>
      </c>
      <c r="R7" s="11" t="str">
        <f t="shared" si="1"/>
        <v>Low Value</v>
      </c>
    </row>
    <row r="8" spans="1:18" x14ac:dyDescent="0.35">
      <c r="A8" s="7" t="s">
        <v>56</v>
      </c>
      <c r="B8" s="8">
        <v>45399</v>
      </c>
      <c r="C8" s="9" t="s">
        <v>53</v>
      </c>
      <c r="D8" s="9" t="s">
        <v>54</v>
      </c>
      <c r="E8" s="9" t="s">
        <v>57</v>
      </c>
      <c r="F8" s="9" t="s">
        <v>58</v>
      </c>
      <c r="G8" s="9" t="s">
        <v>23</v>
      </c>
      <c r="H8" s="9">
        <v>5</v>
      </c>
      <c r="I8" s="9">
        <v>149.99</v>
      </c>
      <c r="J8" s="9" t="s">
        <v>31</v>
      </c>
      <c r="K8" s="9" t="s">
        <v>25</v>
      </c>
      <c r="L8" s="9" t="s">
        <v>41</v>
      </c>
      <c r="M8" s="8">
        <v>44431</v>
      </c>
      <c r="N8" s="9">
        <v>749.95</v>
      </c>
      <c r="O8" s="20" t="str">
        <f>TEXT(CustomerData[[#This Row],[Date]],"mmm")</f>
        <v>Apr</v>
      </c>
      <c r="P8" s="9">
        <f>YEAR(CustomerData[[#This Row],[Date]])</f>
        <v>2024</v>
      </c>
      <c r="Q8" s="10">
        <f t="shared" ca="1" si="0"/>
        <v>1727</v>
      </c>
      <c r="R8" s="11" t="str">
        <f t="shared" si="1"/>
        <v>Medium Value</v>
      </c>
    </row>
    <row r="9" spans="1:18" x14ac:dyDescent="0.35">
      <c r="A9" s="7" t="s">
        <v>59</v>
      </c>
      <c r="B9" s="8">
        <v>45400</v>
      </c>
      <c r="C9" s="9" t="s">
        <v>60</v>
      </c>
      <c r="D9" s="9" t="s">
        <v>61</v>
      </c>
      <c r="E9" s="9" t="s">
        <v>36</v>
      </c>
      <c r="F9" s="9" t="s">
        <v>37</v>
      </c>
      <c r="G9" s="9" t="s">
        <v>38</v>
      </c>
      <c r="H9" s="9">
        <v>3</v>
      </c>
      <c r="I9" s="9">
        <v>59.99</v>
      </c>
      <c r="J9" s="9" t="s">
        <v>62</v>
      </c>
      <c r="K9" s="9" t="s">
        <v>40</v>
      </c>
      <c r="L9" s="9" t="s">
        <v>26</v>
      </c>
      <c r="M9" s="8">
        <v>44432</v>
      </c>
      <c r="N9" s="9">
        <v>179.97</v>
      </c>
      <c r="O9" s="20" t="str">
        <f>TEXT(CustomerData[[#This Row],[Date]],"mmm")</f>
        <v>Apr</v>
      </c>
      <c r="P9" s="9">
        <f>YEAR(CustomerData[[#This Row],[Date]])</f>
        <v>2024</v>
      </c>
      <c r="Q9" s="10">
        <f t="shared" ca="1" si="0"/>
        <v>1726</v>
      </c>
      <c r="R9" s="11" t="str">
        <f t="shared" si="1"/>
        <v>Low Value</v>
      </c>
    </row>
    <row r="10" spans="1:18" x14ac:dyDescent="0.35">
      <c r="A10" s="7" t="s">
        <v>63</v>
      </c>
      <c r="B10" s="8">
        <v>45401</v>
      </c>
      <c r="C10" s="9" t="s">
        <v>64</v>
      </c>
      <c r="D10" s="9" t="s">
        <v>65</v>
      </c>
      <c r="E10" s="9" t="s">
        <v>66</v>
      </c>
      <c r="F10" s="9" t="s">
        <v>67</v>
      </c>
      <c r="G10" s="9" t="s">
        <v>23</v>
      </c>
      <c r="H10" s="9">
        <v>3</v>
      </c>
      <c r="I10" s="9">
        <v>899.99</v>
      </c>
      <c r="J10" s="9" t="s">
        <v>39</v>
      </c>
      <c r="K10" s="9" t="s">
        <v>68</v>
      </c>
      <c r="L10" s="9" t="s">
        <v>41</v>
      </c>
      <c r="M10" s="8">
        <v>44433</v>
      </c>
      <c r="N10" s="9">
        <v>2699.97</v>
      </c>
      <c r="O10" s="20" t="str">
        <f>TEXT(CustomerData[[#This Row],[Date]],"mmm")</f>
        <v>Apr</v>
      </c>
      <c r="P10" s="9">
        <f>YEAR(CustomerData[[#This Row],[Date]])</f>
        <v>2024</v>
      </c>
      <c r="Q10" s="10">
        <f t="shared" ca="1" si="0"/>
        <v>1725</v>
      </c>
      <c r="R10" s="11" t="str">
        <f t="shared" si="1"/>
        <v>VIP Customer</v>
      </c>
    </row>
    <row r="11" spans="1:18" x14ac:dyDescent="0.35">
      <c r="A11" s="7" t="s">
        <v>69</v>
      </c>
      <c r="B11" s="8">
        <v>45402</v>
      </c>
      <c r="C11" s="9" t="s">
        <v>70</v>
      </c>
      <c r="D11" s="9" t="s">
        <v>71</v>
      </c>
      <c r="E11" s="9" t="s">
        <v>36</v>
      </c>
      <c r="F11" s="9" t="s">
        <v>37</v>
      </c>
      <c r="G11" s="9" t="s">
        <v>38</v>
      </c>
      <c r="H11" s="9">
        <v>3</v>
      </c>
      <c r="I11" s="9">
        <v>59.99</v>
      </c>
      <c r="J11" s="9" t="s">
        <v>24</v>
      </c>
      <c r="K11" s="9" t="s">
        <v>55</v>
      </c>
      <c r="L11" s="9" t="s">
        <v>32</v>
      </c>
      <c r="M11" s="8">
        <v>44434</v>
      </c>
      <c r="N11" s="9">
        <v>179.97</v>
      </c>
      <c r="O11" s="20" t="str">
        <f>TEXT(CustomerData[[#This Row],[Date]],"mmm")</f>
        <v>Apr</v>
      </c>
      <c r="P11" s="9">
        <f>YEAR(CustomerData[[#This Row],[Date]])</f>
        <v>2024</v>
      </c>
      <c r="Q11" s="10">
        <f t="shared" ca="1" si="0"/>
        <v>1724</v>
      </c>
      <c r="R11" s="11" t="str">
        <f t="shared" si="1"/>
        <v>Low Value</v>
      </c>
    </row>
    <row r="12" spans="1:18" x14ac:dyDescent="0.35">
      <c r="A12" s="7" t="s">
        <v>72</v>
      </c>
      <c r="B12" s="8">
        <v>45403</v>
      </c>
      <c r="C12" s="9" t="s">
        <v>73</v>
      </c>
      <c r="D12" s="9" t="s">
        <v>74</v>
      </c>
      <c r="E12" s="9" t="s">
        <v>49</v>
      </c>
      <c r="F12" s="9" t="s">
        <v>50</v>
      </c>
      <c r="G12" s="9" t="s">
        <v>51</v>
      </c>
      <c r="H12" s="9">
        <v>1</v>
      </c>
      <c r="I12" s="9">
        <v>149.99</v>
      </c>
      <c r="J12" s="9" t="s">
        <v>31</v>
      </c>
      <c r="K12" s="9" t="s">
        <v>55</v>
      </c>
      <c r="L12" s="9" t="s">
        <v>41</v>
      </c>
      <c r="M12" s="8">
        <v>44435</v>
      </c>
      <c r="N12" s="9">
        <v>149.99</v>
      </c>
      <c r="O12" s="20" t="str">
        <f>TEXT(CustomerData[[#This Row],[Date]],"mmm")</f>
        <v>Apr</v>
      </c>
      <c r="P12" s="9">
        <f>YEAR(CustomerData[[#This Row],[Date]])</f>
        <v>2024</v>
      </c>
      <c r="Q12" s="10">
        <f t="shared" ca="1" si="0"/>
        <v>1723</v>
      </c>
      <c r="R12" s="11" t="str">
        <f t="shared" si="1"/>
        <v>Low Value</v>
      </c>
    </row>
    <row r="13" spans="1:18" x14ac:dyDescent="0.35">
      <c r="A13" s="7" t="s">
        <v>75</v>
      </c>
      <c r="B13" s="8">
        <v>45404</v>
      </c>
      <c r="C13" s="9" t="s">
        <v>43</v>
      </c>
      <c r="D13" s="9" t="s">
        <v>44</v>
      </c>
      <c r="E13" s="9" t="s">
        <v>49</v>
      </c>
      <c r="F13" s="9" t="s">
        <v>50</v>
      </c>
      <c r="G13" s="9" t="s">
        <v>51</v>
      </c>
      <c r="H13" s="9">
        <v>5</v>
      </c>
      <c r="I13" s="9">
        <v>149.99</v>
      </c>
      <c r="J13" s="9" t="s">
        <v>62</v>
      </c>
      <c r="K13" s="9" t="s">
        <v>45</v>
      </c>
      <c r="L13" s="9" t="s">
        <v>26</v>
      </c>
      <c r="M13" s="8">
        <v>44436</v>
      </c>
      <c r="N13" s="9">
        <v>749.95</v>
      </c>
      <c r="O13" s="20" t="str">
        <f>TEXT(CustomerData[[#This Row],[Date]],"mmm")</f>
        <v>Apr</v>
      </c>
      <c r="P13" s="9">
        <f>YEAR(CustomerData[[#This Row],[Date]])</f>
        <v>2024</v>
      </c>
      <c r="Q13" s="10">
        <f t="shared" ca="1" si="0"/>
        <v>1722</v>
      </c>
      <c r="R13" s="11" t="str">
        <f t="shared" si="1"/>
        <v>Medium Value</v>
      </c>
    </row>
    <row r="14" spans="1:18" x14ac:dyDescent="0.35">
      <c r="A14" s="7" t="s">
        <v>76</v>
      </c>
      <c r="B14" s="8">
        <v>45405</v>
      </c>
      <c r="C14" s="9" t="s">
        <v>77</v>
      </c>
      <c r="D14" s="9" t="s">
        <v>78</v>
      </c>
      <c r="E14" s="9" t="s">
        <v>49</v>
      </c>
      <c r="F14" s="9" t="s">
        <v>50</v>
      </c>
      <c r="G14" s="9" t="s">
        <v>51</v>
      </c>
      <c r="H14" s="9">
        <v>3</v>
      </c>
      <c r="I14" s="9">
        <v>149.99</v>
      </c>
      <c r="J14" s="9" t="s">
        <v>24</v>
      </c>
      <c r="K14" s="9" t="s">
        <v>45</v>
      </c>
      <c r="L14" s="9" t="s">
        <v>32</v>
      </c>
      <c r="M14" s="8">
        <v>44437</v>
      </c>
      <c r="N14" s="9">
        <v>449.97</v>
      </c>
      <c r="O14" s="20" t="str">
        <f>TEXT(CustomerData[[#This Row],[Date]],"mmm")</f>
        <v>Apr</v>
      </c>
      <c r="P14" s="9">
        <f>YEAR(CustomerData[[#This Row],[Date]])</f>
        <v>2024</v>
      </c>
      <c r="Q14" s="10">
        <f t="shared" ca="1" si="0"/>
        <v>1721</v>
      </c>
      <c r="R14" s="11" t="str">
        <f t="shared" si="1"/>
        <v>Low Value</v>
      </c>
    </row>
    <row r="15" spans="1:18" x14ac:dyDescent="0.35">
      <c r="A15" s="7" t="s">
        <v>79</v>
      </c>
      <c r="B15" s="8">
        <v>45406</v>
      </c>
      <c r="C15" s="9" t="s">
        <v>80</v>
      </c>
      <c r="D15" s="9" t="s">
        <v>81</v>
      </c>
      <c r="E15" s="9" t="s">
        <v>36</v>
      </c>
      <c r="F15" s="9" t="s">
        <v>37</v>
      </c>
      <c r="G15" s="9" t="s">
        <v>38</v>
      </c>
      <c r="H15" s="9">
        <v>3</v>
      </c>
      <c r="I15" s="9">
        <v>59.99</v>
      </c>
      <c r="J15" s="9" t="s">
        <v>31</v>
      </c>
      <c r="K15" s="9" t="s">
        <v>45</v>
      </c>
      <c r="L15" s="9" t="s">
        <v>41</v>
      </c>
      <c r="M15" s="8">
        <v>44438</v>
      </c>
      <c r="N15" s="9">
        <v>179.97</v>
      </c>
      <c r="O15" s="20" t="str">
        <f>TEXT(CustomerData[[#This Row],[Date]],"mmm")</f>
        <v>Apr</v>
      </c>
      <c r="P15" s="9">
        <f>YEAR(CustomerData[[#This Row],[Date]])</f>
        <v>2024</v>
      </c>
      <c r="Q15" s="10">
        <f t="shared" ca="1" si="0"/>
        <v>1720</v>
      </c>
      <c r="R15" s="11" t="str">
        <f t="shared" si="1"/>
        <v>Low Value</v>
      </c>
    </row>
    <row r="16" spans="1:18" x14ac:dyDescent="0.35">
      <c r="A16" s="7" t="s">
        <v>82</v>
      </c>
      <c r="B16" s="8">
        <v>45407</v>
      </c>
      <c r="C16" s="9" t="s">
        <v>83</v>
      </c>
      <c r="D16" s="9" t="s">
        <v>84</v>
      </c>
      <c r="E16" s="9" t="s">
        <v>85</v>
      </c>
      <c r="F16" s="9" t="s">
        <v>86</v>
      </c>
      <c r="G16" s="9" t="s">
        <v>23</v>
      </c>
      <c r="H16" s="9">
        <v>3</v>
      </c>
      <c r="I16" s="9">
        <v>699.99</v>
      </c>
      <c r="J16" s="9" t="s">
        <v>31</v>
      </c>
      <c r="K16" s="9" t="s">
        <v>55</v>
      </c>
      <c r="L16" s="9" t="s">
        <v>26</v>
      </c>
      <c r="M16" s="8">
        <v>44439</v>
      </c>
      <c r="N16" s="9">
        <v>2099.9699999999998</v>
      </c>
      <c r="O16" s="20" t="str">
        <f>TEXT(CustomerData[[#This Row],[Date]],"mmm")</f>
        <v>Apr</v>
      </c>
      <c r="P16" s="9">
        <f>YEAR(CustomerData[[#This Row],[Date]])</f>
        <v>2024</v>
      </c>
      <c r="Q16" s="10">
        <f t="shared" ca="1" si="0"/>
        <v>1719</v>
      </c>
      <c r="R16" s="11" t="str">
        <f t="shared" si="1"/>
        <v>VIP Customer</v>
      </c>
    </row>
    <row r="17" spans="1:18" x14ac:dyDescent="0.35">
      <c r="A17" s="7" t="s">
        <v>87</v>
      </c>
      <c r="B17" s="8">
        <v>45408</v>
      </c>
      <c r="C17" s="9" t="s">
        <v>88</v>
      </c>
      <c r="D17" s="9" t="s">
        <v>89</v>
      </c>
      <c r="E17" s="9" t="s">
        <v>66</v>
      </c>
      <c r="F17" s="9" t="s">
        <v>67</v>
      </c>
      <c r="G17" s="9" t="s">
        <v>23</v>
      </c>
      <c r="H17" s="9">
        <v>1</v>
      </c>
      <c r="I17" s="9">
        <v>899.99</v>
      </c>
      <c r="J17" s="9" t="s">
        <v>62</v>
      </c>
      <c r="K17" s="9" t="s">
        <v>45</v>
      </c>
      <c r="L17" s="9" t="s">
        <v>41</v>
      </c>
      <c r="M17" s="8">
        <v>44440</v>
      </c>
      <c r="N17" s="9">
        <v>899.99</v>
      </c>
      <c r="O17" s="20" t="str">
        <f>TEXT(CustomerData[[#This Row],[Date]],"mmm")</f>
        <v>Apr</v>
      </c>
      <c r="P17" s="9">
        <f>YEAR(CustomerData[[#This Row],[Date]])</f>
        <v>2024</v>
      </c>
      <c r="Q17" s="10">
        <f t="shared" ca="1" si="0"/>
        <v>1718</v>
      </c>
      <c r="R17" s="11" t="str">
        <f t="shared" si="1"/>
        <v>Medium Value</v>
      </c>
    </row>
    <row r="18" spans="1:18" x14ac:dyDescent="0.35">
      <c r="A18" s="7" t="s">
        <v>90</v>
      </c>
      <c r="B18" s="8">
        <v>45409</v>
      </c>
      <c r="C18" s="9" t="s">
        <v>91</v>
      </c>
      <c r="D18" s="9" t="s">
        <v>92</v>
      </c>
      <c r="E18" s="9" t="s">
        <v>49</v>
      </c>
      <c r="F18" s="9" t="s">
        <v>50</v>
      </c>
      <c r="G18" s="9" t="s">
        <v>51</v>
      </c>
      <c r="H18" s="9">
        <v>4</v>
      </c>
      <c r="I18" s="9">
        <v>149.99</v>
      </c>
      <c r="J18" s="9" t="s">
        <v>62</v>
      </c>
      <c r="K18" s="9" t="s">
        <v>45</v>
      </c>
      <c r="L18" s="9" t="s">
        <v>32</v>
      </c>
      <c r="M18" s="8">
        <v>44441</v>
      </c>
      <c r="N18" s="9">
        <v>599.96</v>
      </c>
      <c r="O18" s="20" t="str">
        <f>TEXT(CustomerData[[#This Row],[Date]],"mmm")</f>
        <v>Apr</v>
      </c>
      <c r="P18" s="9">
        <f>YEAR(CustomerData[[#This Row],[Date]])</f>
        <v>2024</v>
      </c>
      <c r="Q18" s="10">
        <f t="shared" ca="1" si="0"/>
        <v>1717</v>
      </c>
      <c r="R18" s="11" t="str">
        <f t="shared" si="1"/>
        <v>Medium Value</v>
      </c>
    </row>
    <row r="19" spans="1:18" x14ac:dyDescent="0.35">
      <c r="A19" s="7" t="s">
        <v>93</v>
      </c>
      <c r="B19" s="8">
        <v>45410</v>
      </c>
      <c r="C19" s="9" t="s">
        <v>94</v>
      </c>
      <c r="D19" s="9" t="s">
        <v>95</v>
      </c>
      <c r="E19" s="9" t="s">
        <v>85</v>
      </c>
      <c r="F19" s="9" t="s">
        <v>86</v>
      </c>
      <c r="G19" s="9" t="s">
        <v>23</v>
      </c>
      <c r="H19" s="9">
        <v>2</v>
      </c>
      <c r="I19" s="9">
        <v>699.99</v>
      </c>
      <c r="J19" s="9" t="s">
        <v>24</v>
      </c>
      <c r="K19" s="9" t="s">
        <v>45</v>
      </c>
      <c r="L19" s="9" t="s">
        <v>26</v>
      </c>
      <c r="M19" s="8">
        <v>44442</v>
      </c>
      <c r="N19" s="9">
        <v>1399.98</v>
      </c>
      <c r="O19" s="20" t="str">
        <f>TEXT(CustomerData[[#This Row],[Date]],"mmm")</f>
        <v>Apr</v>
      </c>
      <c r="P19" s="9">
        <f>YEAR(CustomerData[[#This Row],[Date]])</f>
        <v>2024</v>
      </c>
      <c r="Q19" s="10">
        <f t="shared" ca="1" si="0"/>
        <v>1716</v>
      </c>
      <c r="R19" s="11" t="str">
        <f t="shared" si="1"/>
        <v>High Value</v>
      </c>
    </row>
    <row r="20" spans="1:18" x14ac:dyDescent="0.35">
      <c r="A20" s="7" t="s">
        <v>96</v>
      </c>
      <c r="B20" s="8">
        <v>45411</v>
      </c>
      <c r="C20" s="9" t="s">
        <v>91</v>
      </c>
      <c r="D20" s="9" t="s">
        <v>92</v>
      </c>
      <c r="E20" s="9" t="s">
        <v>66</v>
      </c>
      <c r="F20" s="9" t="s">
        <v>67</v>
      </c>
      <c r="G20" s="9" t="s">
        <v>23</v>
      </c>
      <c r="H20" s="9">
        <v>4</v>
      </c>
      <c r="I20" s="9">
        <v>899.99</v>
      </c>
      <c r="J20" s="9" t="s">
        <v>31</v>
      </c>
      <c r="K20" s="9" t="s">
        <v>55</v>
      </c>
      <c r="L20" s="9" t="s">
        <v>41</v>
      </c>
      <c r="M20" s="8">
        <v>44443</v>
      </c>
      <c r="N20" s="9">
        <v>3599.96</v>
      </c>
      <c r="O20" s="20" t="str">
        <f>TEXT(CustomerData[[#This Row],[Date]],"mmm")</f>
        <v>Apr</v>
      </c>
      <c r="P20" s="9">
        <f>YEAR(CustomerData[[#This Row],[Date]])</f>
        <v>2024</v>
      </c>
      <c r="Q20" s="10">
        <f t="shared" ca="1" si="0"/>
        <v>1715</v>
      </c>
      <c r="R20" s="11" t="str">
        <f t="shared" si="1"/>
        <v>VIP Customer</v>
      </c>
    </row>
    <row r="21" spans="1:18" x14ac:dyDescent="0.35">
      <c r="A21" s="7" t="s">
        <v>97</v>
      </c>
      <c r="B21" s="8">
        <v>45412</v>
      </c>
      <c r="C21" s="9" t="s">
        <v>98</v>
      </c>
      <c r="D21" s="9" t="s">
        <v>99</v>
      </c>
      <c r="E21" s="9" t="s">
        <v>21</v>
      </c>
      <c r="F21" s="9" t="s">
        <v>22</v>
      </c>
      <c r="G21" s="9" t="s">
        <v>23</v>
      </c>
      <c r="H21" s="9">
        <v>3</v>
      </c>
      <c r="I21" s="9">
        <v>249.99</v>
      </c>
      <c r="J21" s="9" t="s">
        <v>31</v>
      </c>
      <c r="K21" s="9" t="s">
        <v>45</v>
      </c>
      <c r="L21" s="9" t="s">
        <v>32</v>
      </c>
      <c r="M21" s="8">
        <v>44444</v>
      </c>
      <c r="N21" s="9">
        <v>749.97</v>
      </c>
      <c r="O21" s="20" t="str">
        <f>TEXT(CustomerData[[#This Row],[Date]],"mmm")</f>
        <v>Apr</v>
      </c>
      <c r="P21" s="9">
        <f>YEAR(CustomerData[[#This Row],[Date]])</f>
        <v>2024</v>
      </c>
      <c r="Q21" s="10">
        <f t="shared" ca="1" si="0"/>
        <v>1714</v>
      </c>
      <c r="R21" s="11" t="str">
        <f t="shared" si="1"/>
        <v>Medium Value</v>
      </c>
    </row>
    <row r="22" spans="1:18" x14ac:dyDescent="0.35">
      <c r="A22" s="7" t="s">
        <v>100</v>
      </c>
      <c r="B22" s="8">
        <v>45413</v>
      </c>
      <c r="C22" s="9" t="s">
        <v>101</v>
      </c>
      <c r="D22" s="9" t="s">
        <v>102</v>
      </c>
      <c r="E22" s="9" t="s">
        <v>85</v>
      </c>
      <c r="F22" s="9" t="s">
        <v>86</v>
      </c>
      <c r="G22" s="9" t="s">
        <v>23</v>
      </c>
      <c r="H22" s="9">
        <v>5</v>
      </c>
      <c r="I22" s="9">
        <v>699.99</v>
      </c>
      <c r="J22" s="9" t="s">
        <v>24</v>
      </c>
      <c r="K22" s="9" t="s">
        <v>55</v>
      </c>
      <c r="L22" s="9" t="s">
        <v>26</v>
      </c>
      <c r="M22" s="8">
        <v>44445</v>
      </c>
      <c r="N22" s="9">
        <v>3499.95</v>
      </c>
      <c r="O22" s="20" t="str">
        <f>TEXT(CustomerData[[#This Row],[Date]],"mmm")</f>
        <v>May</v>
      </c>
      <c r="P22" s="9">
        <f>YEAR(CustomerData[[#This Row],[Date]])</f>
        <v>2024</v>
      </c>
      <c r="Q22" s="10">
        <f t="shared" ca="1" si="0"/>
        <v>1713</v>
      </c>
      <c r="R22" s="11" t="str">
        <f t="shared" si="1"/>
        <v>VIP Customer</v>
      </c>
    </row>
    <row r="23" spans="1:18" x14ac:dyDescent="0.35">
      <c r="A23" s="7" t="s">
        <v>103</v>
      </c>
      <c r="B23" s="8">
        <v>45414</v>
      </c>
      <c r="C23" s="9" t="s">
        <v>104</v>
      </c>
      <c r="D23" s="9" t="s">
        <v>105</v>
      </c>
      <c r="E23" s="9" t="s">
        <v>85</v>
      </c>
      <c r="F23" s="9" t="s">
        <v>86</v>
      </c>
      <c r="G23" s="9" t="s">
        <v>23</v>
      </c>
      <c r="H23" s="9">
        <v>4</v>
      </c>
      <c r="I23" s="9">
        <v>699.99</v>
      </c>
      <c r="J23" s="9" t="s">
        <v>24</v>
      </c>
      <c r="K23" s="9" t="s">
        <v>68</v>
      </c>
      <c r="L23" s="9" t="s">
        <v>41</v>
      </c>
      <c r="M23" s="8">
        <v>44446</v>
      </c>
      <c r="N23" s="9">
        <v>2799.96</v>
      </c>
      <c r="O23" s="20" t="str">
        <f>TEXT(CustomerData[[#This Row],[Date]],"mmm")</f>
        <v>May</v>
      </c>
      <c r="P23" s="9">
        <f>YEAR(CustomerData[[#This Row],[Date]])</f>
        <v>2024</v>
      </c>
      <c r="Q23" s="10">
        <f t="shared" ca="1" si="0"/>
        <v>1712</v>
      </c>
      <c r="R23" s="11" t="str">
        <f t="shared" si="1"/>
        <v>VIP Customer</v>
      </c>
    </row>
    <row r="24" spans="1:18" x14ac:dyDescent="0.35">
      <c r="A24" s="7" t="s">
        <v>107</v>
      </c>
      <c r="B24" s="8">
        <v>45415</v>
      </c>
      <c r="C24" s="9" t="s">
        <v>108</v>
      </c>
      <c r="D24" s="9" t="s">
        <v>109</v>
      </c>
      <c r="E24" s="9" t="s">
        <v>21</v>
      </c>
      <c r="F24" s="9" t="s">
        <v>22</v>
      </c>
      <c r="G24" s="9" t="s">
        <v>23</v>
      </c>
      <c r="H24" s="9">
        <v>4</v>
      </c>
      <c r="I24" s="9">
        <v>249.99</v>
      </c>
      <c r="J24" s="9" t="s">
        <v>39</v>
      </c>
      <c r="K24" s="9" t="s">
        <v>45</v>
      </c>
      <c r="L24" s="9" t="s">
        <v>41</v>
      </c>
      <c r="M24" s="8">
        <v>44447</v>
      </c>
      <c r="N24" s="9">
        <v>999.96</v>
      </c>
      <c r="O24" s="20" t="str">
        <f>TEXT(CustomerData[[#This Row],[Date]],"mmm")</f>
        <v>May</v>
      </c>
      <c r="P24" s="9">
        <f>YEAR(CustomerData[[#This Row],[Date]])</f>
        <v>2024</v>
      </c>
      <c r="Q24" s="10">
        <f t="shared" ca="1" si="0"/>
        <v>1711</v>
      </c>
      <c r="R24" s="11" t="str">
        <f t="shared" si="1"/>
        <v>Medium Value</v>
      </c>
    </row>
    <row r="25" spans="1:18" x14ac:dyDescent="0.35">
      <c r="A25" s="7" t="s">
        <v>110</v>
      </c>
      <c r="B25" s="8">
        <v>45416</v>
      </c>
      <c r="C25" s="9" t="s">
        <v>91</v>
      </c>
      <c r="D25" s="9" t="s">
        <v>92</v>
      </c>
      <c r="E25" s="9" t="s">
        <v>111</v>
      </c>
      <c r="F25" s="9" t="s">
        <v>112</v>
      </c>
      <c r="G25" s="9" t="s">
        <v>51</v>
      </c>
      <c r="H25" s="9">
        <v>4</v>
      </c>
      <c r="I25" s="9">
        <v>299.99</v>
      </c>
      <c r="J25" s="9" t="s">
        <v>24</v>
      </c>
      <c r="K25" s="9" t="s">
        <v>55</v>
      </c>
      <c r="L25" s="9" t="s">
        <v>32</v>
      </c>
      <c r="M25" s="8">
        <v>44448</v>
      </c>
      <c r="N25" s="9">
        <v>1199.96</v>
      </c>
      <c r="O25" s="20" t="str">
        <f>TEXT(CustomerData[[#This Row],[Date]],"mmm")</f>
        <v>May</v>
      </c>
      <c r="P25" s="9">
        <f>YEAR(CustomerData[[#This Row],[Date]])</f>
        <v>2024</v>
      </c>
      <c r="Q25" s="10">
        <f t="shared" ca="1" si="0"/>
        <v>1710</v>
      </c>
      <c r="R25" s="11" t="str">
        <f t="shared" si="1"/>
        <v>High Value</v>
      </c>
    </row>
    <row r="26" spans="1:18" x14ac:dyDescent="0.35">
      <c r="A26" s="7" t="s">
        <v>113</v>
      </c>
      <c r="B26" s="8">
        <v>45417</v>
      </c>
      <c r="C26" s="9" t="s">
        <v>114</v>
      </c>
      <c r="D26" s="9" t="s">
        <v>115</v>
      </c>
      <c r="E26" s="9" t="s">
        <v>21</v>
      </c>
      <c r="F26" s="9" t="s">
        <v>22</v>
      </c>
      <c r="G26" s="9" t="s">
        <v>23</v>
      </c>
      <c r="H26" s="9">
        <v>5</v>
      </c>
      <c r="I26" s="9">
        <v>249.99</v>
      </c>
      <c r="J26" s="9" t="s">
        <v>31</v>
      </c>
      <c r="K26" s="9" t="s">
        <v>55</v>
      </c>
      <c r="L26" s="9" t="s">
        <v>41</v>
      </c>
      <c r="M26" s="8">
        <v>44449</v>
      </c>
      <c r="N26" s="9">
        <v>1249.95</v>
      </c>
      <c r="O26" s="20" t="str">
        <f>TEXT(CustomerData[[#This Row],[Date]],"mmm")</f>
        <v>May</v>
      </c>
      <c r="P26" s="9">
        <f>YEAR(CustomerData[[#This Row],[Date]])</f>
        <v>2024</v>
      </c>
      <c r="Q26" s="10">
        <f t="shared" ca="1" si="0"/>
        <v>1709</v>
      </c>
      <c r="R26" s="11" t="str">
        <f t="shared" si="1"/>
        <v>High Value</v>
      </c>
    </row>
    <row r="27" spans="1:18" x14ac:dyDescent="0.35">
      <c r="A27" s="7" t="s">
        <v>116</v>
      </c>
      <c r="B27" s="8">
        <v>45418</v>
      </c>
      <c r="C27" s="9" t="s">
        <v>73</v>
      </c>
      <c r="D27" s="9" t="s">
        <v>74</v>
      </c>
      <c r="E27" s="9" t="s">
        <v>111</v>
      </c>
      <c r="F27" s="9" t="s">
        <v>112</v>
      </c>
      <c r="G27" s="9" t="s">
        <v>51</v>
      </c>
      <c r="H27" s="9">
        <v>5</v>
      </c>
      <c r="I27" s="9">
        <v>299.99</v>
      </c>
      <c r="J27" s="9" t="s">
        <v>39</v>
      </c>
      <c r="K27" s="9" t="s">
        <v>68</v>
      </c>
      <c r="L27" s="9" t="s">
        <v>26</v>
      </c>
      <c r="M27" s="8">
        <v>44450</v>
      </c>
      <c r="N27" s="9">
        <v>1499.95</v>
      </c>
      <c r="O27" s="20" t="str">
        <f>TEXT(CustomerData[[#This Row],[Date]],"mmm")</f>
        <v>May</v>
      </c>
      <c r="P27" s="9">
        <f>YEAR(CustomerData[[#This Row],[Date]])</f>
        <v>2024</v>
      </c>
      <c r="Q27" s="10">
        <f t="shared" ca="1" si="0"/>
        <v>1708</v>
      </c>
      <c r="R27" s="11" t="str">
        <f t="shared" si="1"/>
        <v>High Value</v>
      </c>
    </row>
    <row r="28" spans="1:18" x14ac:dyDescent="0.35">
      <c r="A28" s="7" t="s">
        <v>117</v>
      </c>
      <c r="B28" s="8">
        <v>45419</v>
      </c>
      <c r="C28" s="9" t="s">
        <v>118</v>
      </c>
      <c r="D28" s="9" t="s">
        <v>119</v>
      </c>
      <c r="E28" s="9" t="s">
        <v>120</v>
      </c>
      <c r="F28" s="9" t="s">
        <v>121</v>
      </c>
      <c r="G28" s="9" t="s">
        <v>38</v>
      </c>
      <c r="H28" s="9">
        <v>3</v>
      </c>
      <c r="I28" s="9">
        <v>79.989999999999995</v>
      </c>
      <c r="J28" s="9" t="s">
        <v>39</v>
      </c>
      <c r="K28" s="9" t="s">
        <v>68</v>
      </c>
      <c r="L28" s="9" t="s">
        <v>32</v>
      </c>
      <c r="M28" s="8">
        <v>44451</v>
      </c>
      <c r="N28" s="9">
        <v>239.97</v>
      </c>
      <c r="O28" s="20" t="str">
        <f>TEXT(CustomerData[[#This Row],[Date]],"mmm")</f>
        <v>May</v>
      </c>
      <c r="P28" s="9">
        <f>YEAR(CustomerData[[#This Row],[Date]])</f>
        <v>2024</v>
      </c>
      <c r="Q28" s="10">
        <f t="shared" ca="1" si="0"/>
        <v>1707</v>
      </c>
      <c r="R28" s="11" t="str">
        <f t="shared" si="1"/>
        <v>Low Value</v>
      </c>
    </row>
    <row r="29" spans="1:18" x14ac:dyDescent="0.35">
      <c r="A29" s="7" t="s">
        <v>122</v>
      </c>
      <c r="B29" s="8">
        <v>45420</v>
      </c>
      <c r="C29" s="9" t="s">
        <v>104</v>
      </c>
      <c r="D29" s="9" t="s">
        <v>105</v>
      </c>
      <c r="E29" s="9" t="s">
        <v>123</v>
      </c>
      <c r="F29" s="9" t="s">
        <v>124</v>
      </c>
      <c r="G29" s="9" t="s">
        <v>23</v>
      </c>
      <c r="H29" s="9">
        <v>5</v>
      </c>
      <c r="I29" s="9">
        <v>89.99</v>
      </c>
      <c r="J29" s="9" t="s">
        <v>24</v>
      </c>
      <c r="K29" s="9" t="s">
        <v>45</v>
      </c>
      <c r="L29" s="9" t="s">
        <v>32</v>
      </c>
      <c r="M29" s="8">
        <v>44452</v>
      </c>
      <c r="N29" s="9">
        <v>449.95</v>
      </c>
      <c r="O29" s="20" t="str">
        <f>TEXT(CustomerData[[#This Row],[Date]],"mmm")</f>
        <v>May</v>
      </c>
      <c r="P29" s="9">
        <f>YEAR(CustomerData[[#This Row],[Date]])</f>
        <v>2024</v>
      </c>
      <c r="Q29" s="10">
        <f t="shared" ca="1" si="0"/>
        <v>1706</v>
      </c>
      <c r="R29" s="11" t="str">
        <f t="shared" si="1"/>
        <v>Low Value</v>
      </c>
    </row>
    <row r="30" spans="1:18" x14ac:dyDescent="0.35">
      <c r="A30" s="7" t="s">
        <v>125</v>
      </c>
      <c r="B30" s="8">
        <v>45421</v>
      </c>
      <c r="C30" s="9" t="s">
        <v>126</v>
      </c>
      <c r="D30" s="9" t="s">
        <v>127</v>
      </c>
      <c r="E30" s="9" t="s">
        <v>36</v>
      </c>
      <c r="F30" s="9" t="s">
        <v>37</v>
      </c>
      <c r="G30" s="9" t="s">
        <v>38</v>
      </c>
      <c r="H30" s="9">
        <v>2</v>
      </c>
      <c r="I30" s="9">
        <v>59.99</v>
      </c>
      <c r="J30" s="9" t="s">
        <v>62</v>
      </c>
      <c r="K30" s="9" t="s">
        <v>25</v>
      </c>
      <c r="L30" s="9" t="s">
        <v>41</v>
      </c>
      <c r="M30" s="8">
        <v>44453</v>
      </c>
      <c r="N30" s="9">
        <v>119.98</v>
      </c>
      <c r="O30" s="20" t="str">
        <f>TEXT(CustomerData[[#This Row],[Date]],"mmm")</f>
        <v>May</v>
      </c>
      <c r="P30" s="9">
        <f>YEAR(CustomerData[[#This Row],[Date]])</f>
        <v>2024</v>
      </c>
      <c r="Q30" s="10">
        <f t="shared" ca="1" si="0"/>
        <v>1705</v>
      </c>
      <c r="R30" s="11" t="str">
        <f t="shared" si="1"/>
        <v>Low Value</v>
      </c>
    </row>
    <row r="31" spans="1:18" x14ac:dyDescent="0.35">
      <c r="A31" s="7" t="s">
        <v>128</v>
      </c>
      <c r="B31" s="8">
        <v>45422</v>
      </c>
      <c r="C31" s="9" t="s">
        <v>129</v>
      </c>
      <c r="D31" s="9" t="s">
        <v>130</v>
      </c>
      <c r="E31" s="9" t="s">
        <v>36</v>
      </c>
      <c r="F31" s="9" t="s">
        <v>37</v>
      </c>
      <c r="G31" s="9" t="s">
        <v>38</v>
      </c>
      <c r="H31" s="9">
        <v>4</v>
      </c>
      <c r="I31" s="9">
        <v>59.99</v>
      </c>
      <c r="J31" s="9" t="s">
        <v>62</v>
      </c>
      <c r="K31" s="9" t="s">
        <v>68</v>
      </c>
      <c r="L31" s="9" t="s">
        <v>41</v>
      </c>
      <c r="M31" s="8">
        <v>44454</v>
      </c>
      <c r="N31" s="9">
        <v>239.96</v>
      </c>
      <c r="O31" s="20" t="str">
        <f>TEXT(CustomerData[[#This Row],[Date]],"mmm")</f>
        <v>May</v>
      </c>
      <c r="P31" s="9">
        <f>YEAR(CustomerData[[#This Row],[Date]])</f>
        <v>2024</v>
      </c>
      <c r="Q31" s="10">
        <f t="shared" ca="1" si="0"/>
        <v>1704</v>
      </c>
      <c r="R31" s="11" t="str">
        <f t="shared" si="1"/>
        <v>Low Value</v>
      </c>
    </row>
    <row r="32" spans="1:18" x14ac:dyDescent="0.35">
      <c r="A32" s="7" t="s">
        <v>131</v>
      </c>
      <c r="B32" s="8">
        <v>45423</v>
      </c>
      <c r="C32" s="9" t="s">
        <v>60</v>
      </c>
      <c r="D32" s="9" t="s">
        <v>61</v>
      </c>
      <c r="E32" s="9" t="s">
        <v>132</v>
      </c>
      <c r="F32" s="9" t="s">
        <v>133</v>
      </c>
      <c r="G32" s="9" t="s">
        <v>51</v>
      </c>
      <c r="H32" s="9">
        <v>5</v>
      </c>
      <c r="I32" s="9">
        <v>199.99</v>
      </c>
      <c r="J32" s="9" t="s">
        <v>24</v>
      </c>
      <c r="K32" s="9" t="s">
        <v>40</v>
      </c>
      <c r="L32" s="9" t="s">
        <v>41</v>
      </c>
      <c r="M32" s="8">
        <v>44455</v>
      </c>
      <c r="N32" s="9">
        <v>999.95</v>
      </c>
      <c r="O32" s="20" t="str">
        <f>TEXT(CustomerData[[#This Row],[Date]],"mmm")</f>
        <v>May</v>
      </c>
      <c r="P32" s="9">
        <f>YEAR(CustomerData[[#This Row],[Date]])</f>
        <v>2024</v>
      </c>
      <c r="Q32" s="10">
        <f t="shared" ca="1" si="0"/>
        <v>1703</v>
      </c>
      <c r="R32" s="11" t="str">
        <f t="shared" si="1"/>
        <v>Medium Value</v>
      </c>
    </row>
    <row r="33" spans="1:18" x14ac:dyDescent="0.35">
      <c r="A33" s="7" t="s">
        <v>134</v>
      </c>
      <c r="B33" s="8">
        <v>45424</v>
      </c>
      <c r="C33" s="9" t="s">
        <v>135</v>
      </c>
      <c r="D33" s="9" t="s">
        <v>136</v>
      </c>
      <c r="E33" s="9" t="s">
        <v>49</v>
      </c>
      <c r="F33" s="9" t="s">
        <v>50</v>
      </c>
      <c r="G33" s="9" t="s">
        <v>51</v>
      </c>
      <c r="H33" s="9">
        <v>2</v>
      </c>
      <c r="I33" s="9">
        <v>149.99</v>
      </c>
      <c r="J33" s="9" t="s">
        <v>31</v>
      </c>
      <c r="K33" s="9" t="s">
        <v>55</v>
      </c>
      <c r="L33" s="9" t="s">
        <v>26</v>
      </c>
      <c r="M33" s="8">
        <v>44456</v>
      </c>
      <c r="N33" s="9">
        <v>299.98</v>
      </c>
      <c r="O33" s="20" t="str">
        <f>TEXT(CustomerData[[#This Row],[Date]],"mmm")</f>
        <v>May</v>
      </c>
      <c r="P33" s="9">
        <f>YEAR(CustomerData[[#This Row],[Date]])</f>
        <v>2024</v>
      </c>
      <c r="Q33" s="10">
        <f t="shared" ca="1" si="0"/>
        <v>1702</v>
      </c>
      <c r="R33" s="11" t="str">
        <f t="shared" si="1"/>
        <v>Low Value</v>
      </c>
    </row>
    <row r="34" spans="1:18" x14ac:dyDescent="0.35">
      <c r="A34" s="7" t="s">
        <v>137</v>
      </c>
      <c r="B34" s="8">
        <v>45425</v>
      </c>
      <c r="C34" s="9" t="s">
        <v>138</v>
      </c>
      <c r="D34" s="9" t="s">
        <v>139</v>
      </c>
      <c r="E34" s="9" t="s">
        <v>49</v>
      </c>
      <c r="F34" s="9" t="s">
        <v>50</v>
      </c>
      <c r="G34" s="9" t="s">
        <v>51</v>
      </c>
      <c r="H34" s="9">
        <v>3</v>
      </c>
      <c r="I34" s="9">
        <v>149.99</v>
      </c>
      <c r="J34" s="9" t="s">
        <v>31</v>
      </c>
      <c r="K34" s="9" t="s">
        <v>55</v>
      </c>
      <c r="L34" s="9" t="s">
        <v>32</v>
      </c>
      <c r="M34" s="8">
        <v>44457</v>
      </c>
      <c r="N34" s="9">
        <v>449.97</v>
      </c>
      <c r="O34" s="20" t="str">
        <f>TEXT(CustomerData[[#This Row],[Date]],"mmm")</f>
        <v>May</v>
      </c>
      <c r="P34" s="9">
        <f>YEAR(CustomerData[[#This Row],[Date]])</f>
        <v>2024</v>
      </c>
      <c r="Q34" s="10">
        <f t="shared" ca="1" si="0"/>
        <v>1701</v>
      </c>
      <c r="R34" s="11" t="str">
        <f t="shared" si="1"/>
        <v>Low Value</v>
      </c>
    </row>
    <row r="35" spans="1:18" x14ac:dyDescent="0.35">
      <c r="A35" s="7" t="s">
        <v>140</v>
      </c>
      <c r="B35" s="8">
        <v>45426</v>
      </c>
      <c r="C35" s="9" t="s">
        <v>34</v>
      </c>
      <c r="D35" s="9" t="s">
        <v>35</v>
      </c>
      <c r="E35" s="9" t="s">
        <v>66</v>
      </c>
      <c r="F35" s="9" t="s">
        <v>67</v>
      </c>
      <c r="G35" s="9" t="s">
        <v>23</v>
      </c>
      <c r="H35" s="9">
        <v>1</v>
      </c>
      <c r="I35" s="9">
        <v>899.99</v>
      </c>
      <c r="J35" s="9" t="s">
        <v>31</v>
      </c>
      <c r="K35" s="9" t="s">
        <v>55</v>
      </c>
      <c r="L35" s="9" t="s">
        <v>32</v>
      </c>
      <c r="M35" s="8">
        <v>44458</v>
      </c>
      <c r="N35" s="9">
        <v>899.99</v>
      </c>
      <c r="O35" s="20" t="str">
        <f>TEXT(CustomerData[[#This Row],[Date]],"mmm")</f>
        <v>May</v>
      </c>
      <c r="P35" s="9">
        <f>YEAR(CustomerData[[#This Row],[Date]])</f>
        <v>2024</v>
      </c>
      <c r="Q35" s="10">
        <f t="shared" ca="1" si="0"/>
        <v>1700</v>
      </c>
      <c r="R35" s="11" t="str">
        <f t="shared" si="1"/>
        <v>Medium Value</v>
      </c>
    </row>
    <row r="36" spans="1:18" x14ac:dyDescent="0.35">
      <c r="A36" s="7" t="s">
        <v>141</v>
      </c>
      <c r="B36" s="8">
        <v>45427</v>
      </c>
      <c r="C36" s="9" t="s">
        <v>104</v>
      </c>
      <c r="D36" s="9" t="s">
        <v>105</v>
      </c>
      <c r="E36" s="9" t="s">
        <v>111</v>
      </c>
      <c r="F36" s="9" t="s">
        <v>112</v>
      </c>
      <c r="G36" s="9" t="s">
        <v>51</v>
      </c>
      <c r="H36" s="9">
        <v>3</v>
      </c>
      <c r="I36" s="9">
        <v>299.99</v>
      </c>
      <c r="J36" s="9" t="s">
        <v>31</v>
      </c>
      <c r="K36" s="9" t="s">
        <v>68</v>
      </c>
      <c r="L36" s="9" t="s">
        <v>26</v>
      </c>
      <c r="M36" s="8">
        <v>44459</v>
      </c>
      <c r="N36" s="9">
        <v>899.97</v>
      </c>
      <c r="O36" s="20" t="str">
        <f>TEXT(CustomerData[[#This Row],[Date]],"mmm")</f>
        <v>May</v>
      </c>
      <c r="P36" s="9">
        <f>YEAR(CustomerData[[#This Row],[Date]])</f>
        <v>2024</v>
      </c>
      <c r="Q36" s="10">
        <f t="shared" ca="1" si="0"/>
        <v>1699</v>
      </c>
      <c r="R36" s="11" t="str">
        <f t="shared" si="1"/>
        <v>Medium Value</v>
      </c>
    </row>
    <row r="37" spans="1:18" x14ac:dyDescent="0.35">
      <c r="A37" s="7" t="s">
        <v>142</v>
      </c>
      <c r="B37" s="8">
        <v>45428</v>
      </c>
      <c r="C37" s="9" t="s">
        <v>135</v>
      </c>
      <c r="D37" s="9" t="s">
        <v>136</v>
      </c>
      <c r="E37" s="9" t="s">
        <v>120</v>
      </c>
      <c r="F37" s="9" t="s">
        <v>121</v>
      </c>
      <c r="G37" s="9" t="s">
        <v>38</v>
      </c>
      <c r="H37" s="9">
        <v>3</v>
      </c>
      <c r="I37" s="9">
        <v>79.989999999999995</v>
      </c>
      <c r="J37" s="9" t="s">
        <v>24</v>
      </c>
      <c r="K37" s="9" t="s">
        <v>40</v>
      </c>
      <c r="L37" s="9" t="s">
        <v>26</v>
      </c>
      <c r="M37" s="8">
        <v>44460</v>
      </c>
      <c r="N37" s="9">
        <v>239.97</v>
      </c>
      <c r="O37" s="20" t="str">
        <f>TEXT(CustomerData[[#This Row],[Date]],"mmm")</f>
        <v>May</v>
      </c>
      <c r="P37" s="9">
        <f>YEAR(CustomerData[[#This Row],[Date]])</f>
        <v>2024</v>
      </c>
      <c r="Q37" s="10">
        <f t="shared" ca="1" si="0"/>
        <v>1698</v>
      </c>
      <c r="R37" s="11" t="str">
        <f t="shared" si="1"/>
        <v>Low Value</v>
      </c>
    </row>
    <row r="38" spans="1:18" x14ac:dyDescent="0.35">
      <c r="A38" s="7" t="s">
        <v>143</v>
      </c>
      <c r="B38" s="8">
        <v>45429</v>
      </c>
      <c r="C38" s="9" t="s">
        <v>144</v>
      </c>
      <c r="D38" s="9" t="s">
        <v>145</v>
      </c>
      <c r="E38" s="9" t="s">
        <v>132</v>
      </c>
      <c r="F38" s="9" t="s">
        <v>133</v>
      </c>
      <c r="G38" s="9" t="s">
        <v>51</v>
      </c>
      <c r="H38" s="9">
        <v>3</v>
      </c>
      <c r="I38" s="9">
        <v>199.99</v>
      </c>
      <c r="J38" s="9" t="s">
        <v>31</v>
      </c>
      <c r="K38" s="9" t="s">
        <v>45</v>
      </c>
      <c r="L38" s="9" t="s">
        <v>32</v>
      </c>
      <c r="M38" s="8">
        <v>44461</v>
      </c>
      <c r="N38" s="9">
        <v>599.97</v>
      </c>
      <c r="O38" s="20" t="str">
        <f>TEXT(CustomerData[[#This Row],[Date]],"mmm")</f>
        <v>May</v>
      </c>
      <c r="P38" s="9">
        <f>YEAR(CustomerData[[#This Row],[Date]])</f>
        <v>2024</v>
      </c>
      <c r="Q38" s="10">
        <f t="shared" ca="1" si="0"/>
        <v>1697</v>
      </c>
      <c r="R38" s="11" t="str">
        <f t="shared" si="1"/>
        <v>Medium Value</v>
      </c>
    </row>
    <row r="39" spans="1:18" x14ac:dyDescent="0.35">
      <c r="A39" s="7" t="s">
        <v>146</v>
      </c>
      <c r="B39" s="8">
        <v>45430</v>
      </c>
      <c r="C39" s="9" t="s">
        <v>147</v>
      </c>
      <c r="D39" s="9" t="s">
        <v>148</v>
      </c>
      <c r="E39" s="9" t="s">
        <v>85</v>
      </c>
      <c r="F39" s="9" t="s">
        <v>86</v>
      </c>
      <c r="G39" s="9" t="s">
        <v>23</v>
      </c>
      <c r="H39" s="9">
        <v>5</v>
      </c>
      <c r="I39" s="9">
        <v>699.99</v>
      </c>
      <c r="J39" s="9" t="s">
        <v>39</v>
      </c>
      <c r="K39" s="9" t="s">
        <v>55</v>
      </c>
      <c r="L39" s="9" t="s">
        <v>41</v>
      </c>
      <c r="M39" s="8">
        <v>44462</v>
      </c>
      <c r="N39" s="9">
        <v>3499.95</v>
      </c>
      <c r="O39" s="20" t="str">
        <f>TEXT(CustomerData[[#This Row],[Date]],"mmm")</f>
        <v>May</v>
      </c>
      <c r="P39" s="9">
        <f>YEAR(CustomerData[[#This Row],[Date]])</f>
        <v>2024</v>
      </c>
      <c r="Q39" s="10">
        <f t="shared" ca="1" si="0"/>
        <v>1696</v>
      </c>
      <c r="R39" s="11" t="str">
        <f t="shared" si="1"/>
        <v>VIP Customer</v>
      </c>
    </row>
    <row r="40" spans="1:18" x14ac:dyDescent="0.35">
      <c r="A40" s="7" t="s">
        <v>149</v>
      </c>
      <c r="B40" s="8">
        <v>45431</v>
      </c>
      <c r="C40" s="9" t="s">
        <v>150</v>
      </c>
      <c r="D40" s="9" t="s">
        <v>151</v>
      </c>
      <c r="E40" s="9" t="s">
        <v>123</v>
      </c>
      <c r="F40" s="9" t="s">
        <v>124</v>
      </c>
      <c r="G40" s="9" t="s">
        <v>23</v>
      </c>
      <c r="H40" s="9">
        <v>3</v>
      </c>
      <c r="I40" s="9">
        <v>89.99</v>
      </c>
      <c r="J40" s="9" t="s">
        <v>39</v>
      </c>
      <c r="K40" s="9" t="s">
        <v>25</v>
      </c>
      <c r="L40" s="9" t="s">
        <v>32</v>
      </c>
      <c r="M40" s="8">
        <v>44463</v>
      </c>
      <c r="N40" s="9">
        <v>269.97000000000003</v>
      </c>
      <c r="O40" s="20" t="str">
        <f>TEXT(CustomerData[[#This Row],[Date]],"mmm")</f>
        <v>May</v>
      </c>
      <c r="P40" s="9">
        <f>YEAR(CustomerData[[#This Row],[Date]])</f>
        <v>2024</v>
      </c>
      <c r="Q40" s="10">
        <f t="shared" ca="1" si="0"/>
        <v>1695</v>
      </c>
      <c r="R40" s="11" t="str">
        <f t="shared" si="1"/>
        <v>Low Value</v>
      </c>
    </row>
    <row r="41" spans="1:18" x14ac:dyDescent="0.35">
      <c r="A41" s="7" t="s">
        <v>152</v>
      </c>
      <c r="B41" s="8">
        <v>45432</v>
      </c>
      <c r="C41" s="9" t="s">
        <v>153</v>
      </c>
      <c r="D41" s="9" t="s">
        <v>154</v>
      </c>
      <c r="E41" s="9" t="s">
        <v>120</v>
      </c>
      <c r="F41" s="9" t="s">
        <v>121</v>
      </c>
      <c r="G41" s="9" t="s">
        <v>38</v>
      </c>
      <c r="H41" s="9">
        <v>1</v>
      </c>
      <c r="I41" s="9">
        <v>79.989999999999995</v>
      </c>
      <c r="J41" s="9" t="s">
        <v>24</v>
      </c>
      <c r="K41" s="9" t="s">
        <v>45</v>
      </c>
      <c r="L41" s="9" t="s">
        <v>41</v>
      </c>
      <c r="M41" s="8">
        <v>44464</v>
      </c>
      <c r="N41" s="9">
        <v>79.989999999999995</v>
      </c>
      <c r="O41" s="20" t="str">
        <f>TEXT(CustomerData[[#This Row],[Date]],"mmm")</f>
        <v>May</v>
      </c>
      <c r="P41" s="9">
        <f>YEAR(CustomerData[[#This Row],[Date]])</f>
        <v>2024</v>
      </c>
      <c r="Q41" s="10">
        <f t="shared" ca="1" si="0"/>
        <v>1694</v>
      </c>
      <c r="R41" s="11" t="str">
        <f t="shared" si="1"/>
        <v>Low Value</v>
      </c>
    </row>
    <row r="42" spans="1:18" x14ac:dyDescent="0.35">
      <c r="A42" s="7" t="s">
        <v>155</v>
      </c>
      <c r="B42" s="8">
        <v>45433</v>
      </c>
      <c r="C42" s="9" t="s">
        <v>156</v>
      </c>
      <c r="D42" s="9" t="s">
        <v>157</v>
      </c>
      <c r="E42" s="9" t="s">
        <v>36</v>
      </c>
      <c r="F42" s="9" t="s">
        <v>37</v>
      </c>
      <c r="G42" s="9" t="s">
        <v>38</v>
      </c>
      <c r="H42" s="9">
        <v>2</v>
      </c>
      <c r="I42" s="9">
        <v>59.99</v>
      </c>
      <c r="J42" s="9" t="s">
        <v>24</v>
      </c>
      <c r="K42" s="9" t="s">
        <v>55</v>
      </c>
      <c r="L42" s="9" t="s">
        <v>26</v>
      </c>
      <c r="M42" s="8">
        <v>44465</v>
      </c>
      <c r="N42" s="9">
        <v>119.98</v>
      </c>
      <c r="O42" s="20" t="str">
        <f>TEXT(CustomerData[[#This Row],[Date]],"mmm")</f>
        <v>May</v>
      </c>
      <c r="P42" s="9">
        <f>YEAR(CustomerData[[#This Row],[Date]])</f>
        <v>2024</v>
      </c>
      <c r="Q42" s="10">
        <f t="shared" ca="1" si="0"/>
        <v>1693</v>
      </c>
      <c r="R42" s="11" t="str">
        <f t="shared" si="1"/>
        <v>Low Value</v>
      </c>
    </row>
    <row r="43" spans="1:18" x14ac:dyDescent="0.35">
      <c r="A43" s="7" t="s">
        <v>159</v>
      </c>
      <c r="B43" s="8">
        <v>45434</v>
      </c>
      <c r="C43" s="9" t="s">
        <v>60</v>
      </c>
      <c r="D43" s="9" t="s">
        <v>61</v>
      </c>
      <c r="E43" s="9" t="s">
        <v>123</v>
      </c>
      <c r="F43" s="9" t="s">
        <v>124</v>
      </c>
      <c r="G43" s="9" t="s">
        <v>23</v>
      </c>
      <c r="H43" s="9">
        <v>1</v>
      </c>
      <c r="I43" s="9">
        <v>89.99</v>
      </c>
      <c r="J43" s="9" t="s">
        <v>24</v>
      </c>
      <c r="K43" s="9" t="s">
        <v>45</v>
      </c>
      <c r="L43" s="9" t="s">
        <v>26</v>
      </c>
      <c r="M43" s="8">
        <v>44466</v>
      </c>
      <c r="N43" s="9">
        <v>89.99</v>
      </c>
      <c r="O43" s="20" t="str">
        <f>TEXT(CustomerData[[#This Row],[Date]],"mmm")</f>
        <v>May</v>
      </c>
      <c r="P43" s="9">
        <f>YEAR(CustomerData[[#This Row],[Date]])</f>
        <v>2024</v>
      </c>
      <c r="Q43" s="10">
        <f t="shared" ca="1" si="0"/>
        <v>1692</v>
      </c>
      <c r="R43" s="11" t="str">
        <f t="shared" si="1"/>
        <v>Low Value</v>
      </c>
    </row>
    <row r="44" spans="1:18" x14ac:dyDescent="0.35">
      <c r="A44" s="7" t="s">
        <v>160</v>
      </c>
      <c r="B44" s="8">
        <v>45435</v>
      </c>
      <c r="C44" s="9" t="s">
        <v>161</v>
      </c>
      <c r="D44" s="9" t="s">
        <v>162</v>
      </c>
      <c r="E44" s="9" t="s">
        <v>123</v>
      </c>
      <c r="F44" s="9" t="s">
        <v>124</v>
      </c>
      <c r="G44" s="9" t="s">
        <v>23</v>
      </c>
      <c r="H44" s="9">
        <v>5</v>
      </c>
      <c r="I44" s="9">
        <v>89.99</v>
      </c>
      <c r="J44" s="9" t="s">
        <v>31</v>
      </c>
      <c r="K44" s="9" t="s">
        <v>68</v>
      </c>
      <c r="L44" s="9" t="s">
        <v>41</v>
      </c>
      <c r="M44" s="8">
        <v>44467</v>
      </c>
      <c r="N44" s="9">
        <v>449.95</v>
      </c>
      <c r="O44" s="20" t="str">
        <f>TEXT(CustomerData[[#This Row],[Date]],"mmm")</f>
        <v>May</v>
      </c>
      <c r="P44" s="9">
        <f>YEAR(CustomerData[[#This Row],[Date]])</f>
        <v>2024</v>
      </c>
      <c r="Q44" s="10">
        <f t="shared" ca="1" si="0"/>
        <v>1691</v>
      </c>
      <c r="R44" s="11" t="str">
        <f t="shared" si="1"/>
        <v>Low Value</v>
      </c>
    </row>
    <row r="45" spans="1:18" x14ac:dyDescent="0.35">
      <c r="A45" s="7" t="s">
        <v>163</v>
      </c>
      <c r="B45" s="8">
        <v>45436</v>
      </c>
      <c r="C45" s="9" t="s">
        <v>29</v>
      </c>
      <c r="D45" s="9" t="s">
        <v>30</v>
      </c>
      <c r="E45" s="9" t="s">
        <v>21</v>
      </c>
      <c r="F45" s="9" t="s">
        <v>22</v>
      </c>
      <c r="G45" s="9" t="s">
        <v>23</v>
      </c>
      <c r="H45" s="9">
        <v>5</v>
      </c>
      <c r="I45" s="9">
        <v>249.99</v>
      </c>
      <c r="J45" s="9" t="s">
        <v>31</v>
      </c>
      <c r="K45" s="9" t="s">
        <v>68</v>
      </c>
      <c r="L45" s="9" t="s">
        <v>41</v>
      </c>
      <c r="M45" s="8">
        <v>44468</v>
      </c>
      <c r="N45" s="9">
        <v>1249.95</v>
      </c>
      <c r="O45" s="20" t="str">
        <f>TEXT(CustomerData[[#This Row],[Date]],"mmm")</f>
        <v>May</v>
      </c>
      <c r="P45" s="9">
        <f>YEAR(CustomerData[[#This Row],[Date]])</f>
        <v>2024</v>
      </c>
      <c r="Q45" s="10">
        <f t="shared" ca="1" si="0"/>
        <v>1690</v>
      </c>
      <c r="R45" s="11" t="str">
        <f t="shared" si="1"/>
        <v>High Value</v>
      </c>
    </row>
    <row r="46" spans="1:18" x14ac:dyDescent="0.35">
      <c r="A46" s="7" t="s">
        <v>164</v>
      </c>
      <c r="B46" s="8">
        <v>45437</v>
      </c>
      <c r="C46" s="9" t="s">
        <v>165</v>
      </c>
      <c r="D46" s="9" t="s">
        <v>166</v>
      </c>
      <c r="E46" s="9" t="s">
        <v>123</v>
      </c>
      <c r="F46" s="9" t="s">
        <v>124</v>
      </c>
      <c r="G46" s="9" t="s">
        <v>23</v>
      </c>
      <c r="H46" s="9">
        <v>1</v>
      </c>
      <c r="I46" s="9">
        <v>89.99</v>
      </c>
      <c r="J46" s="9" t="s">
        <v>31</v>
      </c>
      <c r="K46" s="9" t="s">
        <v>40</v>
      </c>
      <c r="L46" s="9" t="s">
        <v>41</v>
      </c>
      <c r="M46" s="8">
        <v>44469</v>
      </c>
      <c r="N46" s="9">
        <v>89.99</v>
      </c>
      <c r="O46" s="20" t="str">
        <f>TEXT(CustomerData[[#This Row],[Date]],"mmm")</f>
        <v>May</v>
      </c>
      <c r="P46" s="9">
        <f>YEAR(CustomerData[[#This Row],[Date]])</f>
        <v>2024</v>
      </c>
      <c r="Q46" s="10">
        <f t="shared" ca="1" si="0"/>
        <v>1689</v>
      </c>
      <c r="R46" s="11" t="str">
        <f t="shared" si="1"/>
        <v>Low Value</v>
      </c>
    </row>
    <row r="47" spans="1:18" x14ac:dyDescent="0.35">
      <c r="A47" s="7" t="s">
        <v>167</v>
      </c>
      <c r="B47" s="8">
        <v>45438</v>
      </c>
      <c r="C47" s="9" t="s">
        <v>47</v>
      </c>
      <c r="D47" s="9" t="s">
        <v>48</v>
      </c>
      <c r="E47" s="9" t="s">
        <v>49</v>
      </c>
      <c r="F47" s="9" t="s">
        <v>50</v>
      </c>
      <c r="G47" s="9" t="s">
        <v>51</v>
      </c>
      <c r="H47" s="9">
        <v>2</v>
      </c>
      <c r="I47" s="9">
        <v>149.99</v>
      </c>
      <c r="J47" s="9" t="s">
        <v>24</v>
      </c>
      <c r="K47" s="9" t="s">
        <v>68</v>
      </c>
      <c r="L47" s="9" t="s">
        <v>32</v>
      </c>
      <c r="M47" s="8">
        <v>44470</v>
      </c>
      <c r="N47" s="9">
        <v>299.98</v>
      </c>
      <c r="O47" s="20" t="str">
        <f>TEXT(CustomerData[[#This Row],[Date]],"mmm")</f>
        <v>May</v>
      </c>
      <c r="P47" s="9">
        <f>YEAR(CustomerData[[#This Row],[Date]])</f>
        <v>2024</v>
      </c>
      <c r="Q47" s="10">
        <f t="shared" ca="1" si="0"/>
        <v>1688</v>
      </c>
      <c r="R47" s="11" t="str">
        <f t="shared" si="1"/>
        <v>Low Value</v>
      </c>
    </row>
    <row r="48" spans="1:18" x14ac:dyDescent="0.35">
      <c r="A48" s="7" t="s">
        <v>168</v>
      </c>
      <c r="B48" s="8">
        <v>45439</v>
      </c>
      <c r="C48" s="9" t="s">
        <v>169</v>
      </c>
      <c r="D48" s="9" t="s">
        <v>170</v>
      </c>
      <c r="E48" s="9" t="s">
        <v>36</v>
      </c>
      <c r="F48" s="9" t="s">
        <v>37</v>
      </c>
      <c r="G48" s="9" t="s">
        <v>38</v>
      </c>
      <c r="H48" s="9">
        <v>4</v>
      </c>
      <c r="I48" s="9">
        <v>59.99</v>
      </c>
      <c r="J48" s="9" t="s">
        <v>24</v>
      </c>
      <c r="K48" s="9" t="s">
        <v>68</v>
      </c>
      <c r="L48" s="9" t="s">
        <v>41</v>
      </c>
      <c r="M48" s="8">
        <v>44471</v>
      </c>
      <c r="N48" s="9">
        <v>239.96</v>
      </c>
      <c r="O48" s="20" t="str">
        <f>TEXT(CustomerData[[#This Row],[Date]],"mmm")</f>
        <v>May</v>
      </c>
      <c r="P48" s="9">
        <f>YEAR(CustomerData[[#This Row],[Date]])</f>
        <v>2024</v>
      </c>
      <c r="Q48" s="10">
        <f t="shared" ca="1" si="0"/>
        <v>1687</v>
      </c>
      <c r="R48" s="11" t="str">
        <f t="shared" si="1"/>
        <v>Low Value</v>
      </c>
    </row>
    <row r="49" spans="1:18" x14ac:dyDescent="0.35">
      <c r="A49" s="7" t="s">
        <v>171</v>
      </c>
      <c r="B49" s="8">
        <v>45440</v>
      </c>
      <c r="C49" s="9" t="s">
        <v>135</v>
      </c>
      <c r="D49" s="9" t="s">
        <v>136</v>
      </c>
      <c r="E49" s="9" t="s">
        <v>123</v>
      </c>
      <c r="F49" s="9" t="s">
        <v>124</v>
      </c>
      <c r="G49" s="9" t="s">
        <v>23</v>
      </c>
      <c r="H49" s="9">
        <v>5</v>
      </c>
      <c r="I49" s="9">
        <v>89.99</v>
      </c>
      <c r="J49" s="9" t="s">
        <v>24</v>
      </c>
      <c r="K49" s="9" t="s">
        <v>25</v>
      </c>
      <c r="L49" s="9" t="s">
        <v>32</v>
      </c>
      <c r="M49" s="8">
        <v>44472</v>
      </c>
      <c r="N49" s="9">
        <v>449.95</v>
      </c>
      <c r="O49" s="20" t="str">
        <f>TEXT(CustomerData[[#This Row],[Date]],"mmm")</f>
        <v>May</v>
      </c>
      <c r="P49" s="9">
        <f>YEAR(CustomerData[[#This Row],[Date]])</f>
        <v>2024</v>
      </c>
      <c r="Q49" s="10">
        <f t="shared" ca="1" si="0"/>
        <v>1686</v>
      </c>
      <c r="R49" s="11" t="str">
        <f t="shared" si="1"/>
        <v>Low Value</v>
      </c>
    </row>
    <row r="50" spans="1:18" x14ac:dyDescent="0.35">
      <c r="A50" s="7" t="s">
        <v>172</v>
      </c>
      <c r="B50" s="8">
        <v>45441</v>
      </c>
      <c r="C50" s="9" t="s">
        <v>104</v>
      </c>
      <c r="D50" s="9" t="s">
        <v>105</v>
      </c>
      <c r="E50" s="9" t="s">
        <v>123</v>
      </c>
      <c r="F50" s="9" t="s">
        <v>124</v>
      </c>
      <c r="G50" s="9" t="s">
        <v>23</v>
      </c>
      <c r="H50" s="9">
        <v>2</v>
      </c>
      <c r="I50" s="9">
        <v>89.99</v>
      </c>
      <c r="J50" s="9" t="s">
        <v>31</v>
      </c>
      <c r="K50" s="9" t="s">
        <v>40</v>
      </c>
      <c r="L50" s="9" t="s">
        <v>32</v>
      </c>
      <c r="M50" s="8">
        <v>44473</v>
      </c>
      <c r="N50" s="9">
        <v>179.98</v>
      </c>
      <c r="O50" s="20" t="str">
        <f>TEXT(CustomerData[[#This Row],[Date]],"mmm")</f>
        <v>May</v>
      </c>
      <c r="P50" s="9">
        <f>YEAR(CustomerData[[#This Row],[Date]])</f>
        <v>2024</v>
      </c>
      <c r="Q50" s="10">
        <f t="shared" ca="1" si="0"/>
        <v>1685</v>
      </c>
      <c r="R50" s="11" t="str">
        <f t="shared" si="1"/>
        <v>Low Value</v>
      </c>
    </row>
    <row r="51" spans="1:18" x14ac:dyDescent="0.35">
      <c r="A51" s="7" t="s">
        <v>173</v>
      </c>
      <c r="B51" s="8">
        <v>45442</v>
      </c>
      <c r="C51" s="9" t="s">
        <v>19</v>
      </c>
      <c r="D51" s="9" t="s">
        <v>20</v>
      </c>
      <c r="E51" s="9" t="s">
        <v>66</v>
      </c>
      <c r="F51" s="9" t="s">
        <v>67</v>
      </c>
      <c r="G51" s="9" t="s">
        <v>23</v>
      </c>
      <c r="H51" s="9">
        <v>5</v>
      </c>
      <c r="I51" s="9">
        <v>899.99</v>
      </c>
      <c r="J51" s="9" t="s">
        <v>31</v>
      </c>
      <c r="K51" s="9" t="s">
        <v>40</v>
      </c>
      <c r="L51" s="9" t="s">
        <v>41</v>
      </c>
      <c r="M51" s="8">
        <v>44474</v>
      </c>
      <c r="N51" s="9">
        <v>4499.95</v>
      </c>
      <c r="O51" s="20" t="str">
        <f>TEXT(CustomerData[[#This Row],[Date]],"mmm")</f>
        <v>May</v>
      </c>
      <c r="P51" s="9">
        <f>YEAR(CustomerData[[#This Row],[Date]])</f>
        <v>2024</v>
      </c>
      <c r="Q51" s="10">
        <f t="shared" ca="1" si="0"/>
        <v>1684</v>
      </c>
      <c r="R51" s="11" t="str">
        <f t="shared" si="1"/>
        <v>VIP Customer</v>
      </c>
    </row>
    <row r="52" spans="1:18" x14ac:dyDescent="0.35">
      <c r="A52" s="7" t="s">
        <v>174</v>
      </c>
      <c r="B52" s="8">
        <v>45443</v>
      </c>
      <c r="C52" s="9" t="s">
        <v>129</v>
      </c>
      <c r="D52" s="9" t="s">
        <v>130</v>
      </c>
      <c r="E52" s="9" t="s">
        <v>66</v>
      </c>
      <c r="F52" s="9" t="s">
        <v>67</v>
      </c>
      <c r="G52" s="9" t="s">
        <v>23</v>
      </c>
      <c r="H52" s="9">
        <v>5</v>
      </c>
      <c r="I52" s="9">
        <v>899.99</v>
      </c>
      <c r="J52" s="9" t="s">
        <v>39</v>
      </c>
      <c r="K52" s="9" t="s">
        <v>68</v>
      </c>
      <c r="L52" s="9" t="s">
        <v>32</v>
      </c>
      <c r="M52" s="8">
        <v>44475</v>
      </c>
      <c r="N52" s="9">
        <v>4499.95</v>
      </c>
      <c r="O52" s="20" t="str">
        <f>TEXT(CustomerData[[#This Row],[Date]],"mmm")</f>
        <v>May</v>
      </c>
      <c r="P52" s="9">
        <f>YEAR(CustomerData[[#This Row],[Date]])</f>
        <v>2024</v>
      </c>
      <c r="Q52" s="10">
        <f t="shared" ca="1" si="0"/>
        <v>1683</v>
      </c>
      <c r="R52" s="11" t="str">
        <f t="shared" si="1"/>
        <v>VIP Customer</v>
      </c>
    </row>
    <row r="53" spans="1:18" x14ac:dyDescent="0.35">
      <c r="A53" s="7" t="s">
        <v>175</v>
      </c>
      <c r="B53" s="8">
        <v>45444</v>
      </c>
      <c r="C53" s="9" t="s">
        <v>165</v>
      </c>
      <c r="D53" s="9" t="s">
        <v>166</v>
      </c>
      <c r="E53" s="9" t="s">
        <v>36</v>
      </c>
      <c r="F53" s="9" t="s">
        <v>37</v>
      </c>
      <c r="G53" s="9" t="s">
        <v>38</v>
      </c>
      <c r="H53" s="9">
        <v>1</v>
      </c>
      <c r="I53" s="9">
        <v>59.99</v>
      </c>
      <c r="J53" s="9" t="s">
        <v>62</v>
      </c>
      <c r="K53" s="9" t="s">
        <v>55</v>
      </c>
      <c r="L53" s="9" t="s">
        <v>32</v>
      </c>
      <c r="M53" s="8">
        <v>44476</v>
      </c>
      <c r="N53" s="9">
        <v>59.99</v>
      </c>
      <c r="O53" s="20" t="str">
        <f>TEXT(CustomerData[[#This Row],[Date]],"mmm")</f>
        <v>Jun</v>
      </c>
      <c r="P53" s="9">
        <f>YEAR(CustomerData[[#This Row],[Date]])</f>
        <v>2024</v>
      </c>
      <c r="Q53" s="10">
        <f t="shared" ca="1" si="0"/>
        <v>1682</v>
      </c>
      <c r="R53" s="11" t="str">
        <f t="shared" si="1"/>
        <v>Low Value</v>
      </c>
    </row>
    <row r="54" spans="1:18" x14ac:dyDescent="0.35">
      <c r="A54" s="7" t="s">
        <v>176</v>
      </c>
      <c r="B54" s="8">
        <v>45445</v>
      </c>
      <c r="C54" s="9" t="s">
        <v>147</v>
      </c>
      <c r="D54" s="9" t="s">
        <v>148</v>
      </c>
      <c r="E54" s="9" t="s">
        <v>111</v>
      </c>
      <c r="F54" s="9" t="s">
        <v>112</v>
      </c>
      <c r="G54" s="9" t="s">
        <v>51</v>
      </c>
      <c r="H54" s="9">
        <v>2</v>
      </c>
      <c r="I54" s="9">
        <v>299.99</v>
      </c>
      <c r="J54" s="9" t="s">
        <v>62</v>
      </c>
      <c r="K54" s="9" t="s">
        <v>68</v>
      </c>
      <c r="L54" s="9" t="s">
        <v>41</v>
      </c>
      <c r="M54" s="8">
        <v>44477</v>
      </c>
      <c r="N54" s="9">
        <v>599.98</v>
      </c>
      <c r="O54" s="20" t="str">
        <f>TEXT(CustomerData[[#This Row],[Date]],"mmm")</f>
        <v>Jun</v>
      </c>
      <c r="P54" s="9">
        <f>YEAR(CustomerData[[#This Row],[Date]])</f>
        <v>2024</v>
      </c>
      <c r="Q54" s="10">
        <f t="shared" ca="1" si="0"/>
        <v>1681</v>
      </c>
      <c r="R54" s="11" t="str">
        <f t="shared" si="1"/>
        <v>Medium Value</v>
      </c>
    </row>
    <row r="55" spans="1:18" x14ac:dyDescent="0.35">
      <c r="A55" s="7" t="s">
        <v>177</v>
      </c>
      <c r="B55" s="8">
        <v>45446</v>
      </c>
      <c r="C55" s="9" t="s">
        <v>178</v>
      </c>
      <c r="D55" s="9" t="s">
        <v>179</v>
      </c>
      <c r="E55" s="9" t="s">
        <v>123</v>
      </c>
      <c r="F55" s="9" t="s">
        <v>124</v>
      </c>
      <c r="G55" s="9" t="s">
        <v>23</v>
      </c>
      <c r="H55" s="9">
        <v>4</v>
      </c>
      <c r="I55" s="9">
        <v>89.99</v>
      </c>
      <c r="J55" s="9" t="s">
        <v>62</v>
      </c>
      <c r="K55" s="9" t="s">
        <v>40</v>
      </c>
      <c r="L55" s="9" t="s">
        <v>26</v>
      </c>
      <c r="M55" s="8">
        <v>44478</v>
      </c>
      <c r="N55" s="9">
        <v>359.96</v>
      </c>
      <c r="O55" s="20" t="str">
        <f>TEXT(CustomerData[[#This Row],[Date]],"mmm")</f>
        <v>Jun</v>
      </c>
      <c r="P55" s="9">
        <f>YEAR(CustomerData[[#This Row],[Date]])</f>
        <v>2024</v>
      </c>
      <c r="Q55" s="10">
        <f t="shared" ca="1" si="0"/>
        <v>1680</v>
      </c>
      <c r="R55" s="11" t="str">
        <f t="shared" si="1"/>
        <v>Low Value</v>
      </c>
    </row>
    <row r="56" spans="1:18" x14ac:dyDescent="0.35">
      <c r="A56" s="7" t="s">
        <v>180</v>
      </c>
      <c r="B56" s="8">
        <v>45447</v>
      </c>
      <c r="C56" s="9" t="s">
        <v>34</v>
      </c>
      <c r="D56" s="9" t="s">
        <v>35</v>
      </c>
      <c r="E56" s="9" t="s">
        <v>120</v>
      </c>
      <c r="F56" s="9" t="s">
        <v>121</v>
      </c>
      <c r="G56" s="9" t="s">
        <v>38</v>
      </c>
      <c r="H56" s="9">
        <v>1</v>
      </c>
      <c r="I56" s="9">
        <v>79.989999999999995</v>
      </c>
      <c r="J56" s="9" t="s">
        <v>39</v>
      </c>
      <c r="K56" s="9" t="s">
        <v>25</v>
      </c>
      <c r="L56" s="9" t="s">
        <v>32</v>
      </c>
      <c r="M56" s="8">
        <v>44479</v>
      </c>
      <c r="N56" s="9">
        <v>79.989999999999995</v>
      </c>
      <c r="O56" s="20" t="str">
        <f>TEXT(CustomerData[[#This Row],[Date]],"mmm")</f>
        <v>Jun</v>
      </c>
      <c r="P56" s="9">
        <f>YEAR(CustomerData[[#This Row],[Date]])</f>
        <v>2024</v>
      </c>
      <c r="Q56" s="10">
        <f t="shared" ca="1" si="0"/>
        <v>1679</v>
      </c>
      <c r="R56" s="11" t="str">
        <f t="shared" si="1"/>
        <v>Low Value</v>
      </c>
    </row>
    <row r="57" spans="1:18" x14ac:dyDescent="0.35">
      <c r="A57" s="7" t="s">
        <v>181</v>
      </c>
      <c r="B57" s="8">
        <v>45448</v>
      </c>
      <c r="C57" s="9" t="s">
        <v>64</v>
      </c>
      <c r="D57" s="9" t="s">
        <v>65</v>
      </c>
      <c r="E57" s="9" t="s">
        <v>123</v>
      </c>
      <c r="F57" s="9" t="s">
        <v>124</v>
      </c>
      <c r="G57" s="9" t="s">
        <v>23</v>
      </c>
      <c r="H57" s="9">
        <v>2</v>
      </c>
      <c r="I57" s="9">
        <v>89.99</v>
      </c>
      <c r="J57" s="9" t="s">
        <v>24</v>
      </c>
      <c r="K57" s="9" t="s">
        <v>55</v>
      </c>
      <c r="L57" s="9" t="s">
        <v>26</v>
      </c>
      <c r="M57" s="8">
        <v>44480</v>
      </c>
      <c r="N57" s="9">
        <v>179.98</v>
      </c>
      <c r="O57" s="20" t="str">
        <f>TEXT(CustomerData[[#This Row],[Date]],"mmm")</f>
        <v>Jun</v>
      </c>
      <c r="P57" s="9">
        <f>YEAR(CustomerData[[#This Row],[Date]])</f>
        <v>2024</v>
      </c>
      <c r="Q57" s="10">
        <f t="shared" ca="1" si="0"/>
        <v>1678</v>
      </c>
      <c r="R57" s="11" t="str">
        <f t="shared" si="1"/>
        <v>Low Value</v>
      </c>
    </row>
    <row r="58" spans="1:18" x14ac:dyDescent="0.35">
      <c r="A58" s="7" t="s">
        <v>182</v>
      </c>
      <c r="B58" s="8">
        <v>45449</v>
      </c>
      <c r="C58" s="9" t="s">
        <v>43</v>
      </c>
      <c r="D58" s="9" t="s">
        <v>44</v>
      </c>
      <c r="E58" s="9" t="s">
        <v>85</v>
      </c>
      <c r="F58" s="9" t="s">
        <v>86</v>
      </c>
      <c r="G58" s="9" t="s">
        <v>23</v>
      </c>
      <c r="H58" s="9">
        <v>3</v>
      </c>
      <c r="I58" s="9">
        <v>699.99</v>
      </c>
      <c r="J58" s="9" t="s">
        <v>31</v>
      </c>
      <c r="K58" s="9" t="s">
        <v>68</v>
      </c>
      <c r="L58" s="9" t="s">
        <v>32</v>
      </c>
      <c r="M58" s="8">
        <v>44481</v>
      </c>
      <c r="N58" s="9">
        <v>2099.9699999999998</v>
      </c>
      <c r="O58" s="20" t="str">
        <f>TEXT(CustomerData[[#This Row],[Date]],"mmm")</f>
        <v>Jun</v>
      </c>
      <c r="P58" s="9">
        <f>YEAR(CustomerData[[#This Row],[Date]])</f>
        <v>2024</v>
      </c>
      <c r="Q58" s="10">
        <f t="shared" ca="1" si="0"/>
        <v>1677</v>
      </c>
      <c r="R58" s="11" t="str">
        <f t="shared" si="1"/>
        <v>VIP Customer</v>
      </c>
    </row>
    <row r="59" spans="1:18" x14ac:dyDescent="0.35">
      <c r="A59" s="7" t="s">
        <v>183</v>
      </c>
      <c r="B59" s="8">
        <v>45450</v>
      </c>
      <c r="C59" s="9" t="s">
        <v>104</v>
      </c>
      <c r="D59" s="9" t="s">
        <v>105</v>
      </c>
      <c r="E59" s="9" t="s">
        <v>66</v>
      </c>
      <c r="F59" s="9" t="s">
        <v>67</v>
      </c>
      <c r="G59" s="9" t="s">
        <v>23</v>
      </c>
      <c r="H59" s="9">
        <v>4</v>
      </c>
      <c r="I59" s="9">
        <v>899.99</v>
      </c>
      <c r="J59" s="9" t="s">
        <v>31</v>
      </c>
      <c r="K59" s="9" t="s">
        <v>68</v>
      </c>
      <c r="L59" s="9" t="s">
        <v>32</v>
      </c>
      <c r="M59" s="8">
        <v>44482</v>
      </c>
      <c r="N59" s="9">
        <v>3599.96</v>
      </c>
      <c r="O59" s="20" t="str">
        <f>TEXT(CustomerData[[#This Row],[Date]],"mmm")</f>
        <v>Jun</v>
      </c>
      <c r="P59" s="9">
        <f>YEAR(CustomerData[[#This Row],[Date]])</f>
        <v>2024</v>
      </c>
      <c r="Q59" s="10">
        <f t="shared" ca="1" si="0"/>
        <v>1676</v>
      </c>
      <c r="R59" s="11" t="str">
        <f t="shared" si="1"/>
        <v>VIP Customer</v>
      </c>
    </row>
    <row r="60" spans="1:18" x14ac:dyDescent="0.35">
      <c r="A60" s="7" t="s">
        <v>184</v>
      </c>
      <c r="B60" s="8">
        <v>45451</v>
      </c>
      <c r="C60" s="9" t="s">
        <v>126</v>
      </c>
      <c r="D60" s="9" t="s">
        <v>127</v>
      </c>
      <c r="E60" s="9" t="s">
        <v>49</v>
      </c>
      <c r="F60" s="9" t="s">
        <v>50</v>
      </c>
      <c r="G60" s="9" t="s">
        <v>51</v>
      </c>
      <c r="H60" s="9">
        <v>1</v>
      </c>
      <c r="I60" s="9">
        <v>149.99</v>
      </c>
      <c r="J60" s="9" t="s">
        <v>39</v>
      </c>
      <c r="K60" s="9" t="s">
        <v>68</v>
      </c>
      <c r="L60" s="9" t="s">
        <v>26</v>
      </c>
      <c r="M60" s="8">
        <v>44483</v>
      </c>
      <c r="N60" s="9">
        <v>149.99</v>
      </c>
      <c r="O60" s="20" t="str">
        <f>TEXT(CustomerData[[#This Row],[Date]],"mmm")</f>
        <v>Jun</v>
      </c>
      <c r="P60" s="9">
        <f>YEAR(CustomerData[[#This Row],[Date]])</f>
        <v>2024</v>
      </c>
      <c r="Q60" s="10">
        <f t="shared" ca="1" si="0"/>
        <v>1675</v>
      </c>
      <c r="R60" s="11" t="str">
        <f t="shared" si="1"/>
        <v>Low Value</v>
      </c>
    </row>
    <row r="61" spans="1:18" x14ac:dyDescent="0.35">
      <c r="A61" s="7" t="s">
        <v>185</v>
      </c>
      <c r="B61" s="8">
        <v>45452</v>
      </c>
      <c r="C61" s="9" t="s">
        <v>138</v>
      </c>
      <c r="D61" s="9" t="s">
        <v>139</v>
      </c>
      <c r="E61" s="9" t="s">
        <v>123</v>
      </c>
      <c r="F61" s="9" t="s">
        <v>124</v>
      </c>
      <c r="G61" s="9" t="s">
        <v>23</v>
      </c>
      <c r="H61" s="9">
        <v>2</v>
      </c>
      <c r="I61" s="9">
        <v>89.99</v>
      </c>
      <c r="J61" s="9" t="s">
        <v>39</v>
      </c>
      <c r="K61" s="9" t="s">
        <v>25</v>
      </c>
      <c r="L61" s="9" t="s">
        <v>32</v>
      </c>
      <c r="M61" s="8">
        <v>44484</v>
      </c>
      <c r="N61" s="9">
        <v>179.98</v>
      </c>
      <c r="O61" s="20" t="str">
        <f>TEXT(CustomerData[[#This Row],[Date]],"mmm")</f>
        <v>Jun</v>
      </c>
      <c r="P61" s="9">
        <f>YEAR(CustomerData[[#This Row],[Date]])</f>
        <v>2024</v>
      </c>
      <c r="Q61" s="10">
        <f t="shared" ca="1" si="0"/>
        <v>1674</v>
      </c>
      <c r="R61" s="11" t="str">
        <f t="shared" si="1"/>
        <v>Low Value</v>
      </c>
    </row>
    <row r="62" spans="1:18" x14ac:dyDescent="0.35">
      <c r="A62" s="7" t="s">
        <v>187</v>
      </c>
      <c r="B62" s="8">
        <v>45453</v>
      </c>
      <c r="C62" s="9" t="s">
        <v>60</v>
      </c>
      <c r="D62" s="9" t="s">
        <v>61</v>
      </c>
      <c r="E62" s="9" t="s">
        <v>123</v>
      </c>
      <c r="F62" s="9" t="s">
        <v>124</v>
      </c>
      <c r="G62" s="9" t="s">
        <v>23</v>
      </c>
      <c r="H62" s="9">
        <v>1</v>
      </c>
      <c r="I62" s="9">
        <v>89.99</v>
      </c>
      <c r="J62" s="9" t="s">
        <v>39</v>
      </c>
      <c r="K62" s="9" t="s">
        <v>55</v>
      </c>
      <c r="L62" s="9" t="s">
        <v>41</v>
      </c>
      <c r="M62" s="8">
        <v>44485</v>
      </c>
      <c r="N62" s="9">
        <v>89.99</v>
      </c>
      <c r="O62" s="20" t="str">
        <f>TEXT(CustomerData[[#This Row],[Date]],"mmm")</f>
        <v>Jun</v>
      </c>
      <c r="P62" s="9">
        <f>YEAR(CustomerData[[#This Row],[Date]])</f>
        <v>2024</v>
      </c>
      <c r="Q62" s="10">
        <f t="shared" ca="1" si="0"/>
        <v>1673</v>
      </c>
      <c r="R62" s="11" t="str">
        <f t="shared" si="1"/>
        <v>Low Value</v>
      </c>
    </row>
    <row r="63" spans="1:18" x14ac:dyDescent="0.35">
      <c r="A63" s="7" t="s">
        <v>188</v>
      </c>
      <c r="B63" s="8">
        <v>45454</v>
      </c>
      <c r="C63" s="9" t="s">
        <v>73</v>
      </c>
      <c r="D63" s="9" t="s">
        <v>74</v>
      </c>
      <c r="E63" s="9" t="s">
        <v>123</v>
      </c>
      <c r="F63" s="9" t="s">
        <v>124</v>
      </c>
      <c r="G63" s="9" t="s">
        <v>23</v>
      </c>
      <c r="H63" s="9">
        <v>1</v>
      </c>
      <c r="I63" s="9">
        <v>89.99</v>
      </c>
      <c r="J63" s="9" t="s">
        <v>24</v>
      </c>
      <c r="K63" s="9" t="s">
        <v>40</v>
      </c>
      <c r="L63" s="9" t="s">
        <v>41</v>
      </c>
      <c r="M63" s="8">
        <v>44486</v>
      </c>
      <c r="N63" s="9">
        <v>89.99</v>
      </c>
      <c r="O63" s="20" t="str">
        <f>TEXT(CustomerData[[#This Row],[Date]],"mmm")</f>
        <v>Jun</v>
      </c>
      <c r="P63" s="9">
        <f>YEAR(CustomerData[[#This Row],[Date]])</f>
        <v>2024</v>
      </c>
      <c r="Q63" s="10">
        <f t="shared" ca="1" si="0"/>
        <v>1672</v>
      </c>
      <c r="R63" s="11" t="str">
        <f t="shared" si="1"/>
        <v>Low Value</v>
      </c>
    </row>
    <row r="64" spans="1:18" x14ac:dyDescent="0.35">
      <c r="A64" s="7" t="s">
        <v>189</v>
      </c>
      <c r="B64" s="8">
        <v>45455</v>
      </c>
      <c r="C64" s="9" t="s">
        <v>190</v>
      </c>
      <c r="D64" s="9" t="s">
        <v>191</v>
      </c>
      <c r="E64" s="9" t="s">
        <v>120</v>
      </c>
      <c r="F64" s="9" t="s">
        <v>121</v>
      </c>
      <c r="G64" s="9" t="s">
        <v>38</v>
      </c>
      <c r="H64" s="9">
        <v>5</v>
      </c>
      <c r="I64" s="9">
        <v>79.989999999999995</v>
      </c>
      <c r="J64" s="9" t="s">
        <v>62</v>
      </c>
      <c r="K64" s="9" t="s">
        <v>25</v>
      </c>
      <c r="L64" s="9" t="s">
        <v>26</v>
      </c>
      <c r="M64" s="8">
        <v>44487</v>
      </c>
      <c r="N64" s="9">
        <v>399.95</v>
      </c>
      <c r="O64" s="20" t="str">
        <f>TEXT(CustomerData[[#This Row],[Date]],"mmm")</f>
        <v>Jun</v>
      </c>
      <c r="P64" s="9">
        <f>YEAR(CustomerData[[#This Row],[Date]])</f>
        <v>2024</v>
      </c>
      <c r="Q64" s="10">
        <f t="shared" ca="1" si="0"/>
        <v>1671</v>
      </c>
      <c r="R64" s="11" t="str">
        <f t="shared" si="1"/>
        <v>Low Value</v>
      </c>
    </row>
    <row r="65" spans="1:18" x14ac:dyDescent="0.35">
      <c r="A65" s="7" t="s">
        <v>192</v>
      </c>
      <c r="B65" s="8">
        <v>45456</v>
      </c>
      <c r="C65" s="9" t="s">
        <v>193</v>
      </c>
      <c r="D65" s="9" t="s">
        <v>194</v>
      </c>
      <c r="E65" s="9" t="s">
        <v>49</v>
      </c>
      <c r="F65" s="9" t="s">
        <v>50</v>
      </c>
      <c r="G65" s="9" t="s">
        <v>51</v>
      </c>
      <c r="H65" s="9">
        <v>1</v>
      </c>
      <c r="I65" s="9">
        <v>149.99</v>
      </c>
      <c r="J65" s="9" t="s">
        <v>39</v>
      </c>
      <c r="K65" s="9" t="s">
        <v>45</v>
      </c>
      <c r="L65" s="9" t="s">
        <v>26</v>
      </c>
      <c r="M65" s="8">
        <v>44488</v>
      </c>
      <c r="N65" s="9">
        <v>149.99</v>
      </c>
      <c r="O65" s="20" t="str">
        <f>TEXT(CustomerData[[#This Row],[Date]],"mmm")</f>
        <v>Jun</v>
      </c>
      <c r="P65" s="9">
        <f>YEAR(CustomerData[[#This Row],[Date]])</f>
        <v>2024</v>
      </c>
      <c r="Q65" s="10">
        <f t="shared" ca="1" si="0"/>
        <v>1670</v>
      </c>
      <c r="R65" s="11" t="str">
        <f t="shared" si="1"/>
        <v>Low Value</v>
      </c>
    </row>
    <row r="66" spans="1:18" x14ac:dyDescent="0.35">
      <c r="A66" s="7" t="s">
        <v>195</v>
      </c>
      <c r="B66" s="8">
        <v>45457</v>
      </c>
      <c r="C66" s="9" t="s">
        <v>47</v>
      </c>
      <c r="D66" s="9" t="s">
        <v>48</v>
      </c>
      <c r="E66" s="9" t="s">
        <v>85</v>
      </c>
      <c r="F66" s="9" t="s">
        <v>86</v>
      </c>
      <c r="G66" s="9" t="s">
        <v>23</v>
      </c>
      <c r="H66" s="9">
        <v>2</v>
      </c>
      <c r="I66" s="9">
        <v>699.99</v>
      </c>
      <c r="J66" s="9" t="s">
        <v>39</v>
      </c>
      <c r="K66" s="9" t="s">
        <v>68</v>
      </c>
      <c r="L66" s="9" t="s">
        <v>32</v>
      </c>
      <c r="M66" s="8">
        <v>44489</v>
      </c>
      <c r="N66" s="9">
        <v>1399.98</v>
      </c>
      <c r="O66" s="20" t="str">
        <f>TEXT(CustomerData[[#This Row],[Date]],"mmm")</f>
        <v>Jun</v>
      </c>
      <c r="P66" s="9">
        <f>YEAR(CustomerData[[#This Row],[Date]])</f>
        <v>2024</v>
      </c>
      <c r="Q66" s="10">
        <f t="shared" ca="1" si="0"/>
        <v>1669</v>
      </c>
      <c r="R66" s="11" t="str">
        <f t="shared" si="1"/>
        <v>High Value</v>
      </c>
    </row>
    <row r="67" spans="1:18" x14ac:dyDescent="0.35">
      <c r="A67" s="7" t="s">
        <v>196</v>
      </c>
      <c r="B67" s="8">
        <v>45458</v>
      </c>
      <c r="C67" s="9" t="s">
        <v>101</v>
      </c>
      <c r="D67" s="9" t="s">
        <v>102</v>
      </c>
      <c r="E67" s="9" t="s">
        <v>123</v>
      </c>
      <c r="F67" s="9" t="s">
        <v>124</v>
      </c>
      <c r="G67" s="9" t="s">
        <v>23</v>
      </c>
      <c r="H67" s="9">
        <v>5</v>
      </c>
      <c r="I67" s="9">
        <v>89.99</v>
      </c>
      <c r="J67" s="9" t="s">
        <v>62</v>
      </c>
      <c r="K67" s="9" t="s">
        <v>45</v>
      </c>
      <c r="L67" s="9" t="s">
        <v>32</v>
      </c>
      <c r="M67" s="8">
        <v>44490</v>
      </c>
      <c r="N67" s="9">
        <v>449.95</v>
      </c>
      <c r="O67" s="20" t="str">
        <f>TEXT(CustomerData[[#This Row],[Date]],"mmm")</f>
        <v>Jun</v>
      </c>
      <c r="P67" s="9">
        <f>YEAR(CustomerData[[#This Row],[Date]])</f>
        <v>2024</v>
      </c>
      <c r="Q67" s="10">
        <f t="shared" ref="Q67:Q130" ca="1" si="2">TODAY()-M67</f>
        <v>1668</v>
      </c>
      <c r="R67" s="11" t="str">
        <f t="shared" ref="R67:R130" si="3">IF(N67&gt;=2000,"VIP Customer",IF(N67&gt;=1000,"High Value",IF(N67&gt;=500,"Medium Value","Low Value")))</f>
        <v>Low Value</v>
      </c>
    </row>
    <row r="68" spans="1:18" x14ac:dyDescent="0.35">
      <c r="A68" s="7" t="s">
        <v>197</v>
      </c>
      <c r="B68" s="8">
        <v>45459</v>
      </c>
      <c r="C68" s="9" t="s">
        <v>178</v>
      </c>
      <c r="D68" s="9" t="s">
        <v>179</v>
      </c>
      <c r="E68" s="9" t="s">
        <v>36</v>
      </c>
      <c r="F68" s="9" t="s">
        <v>37</v>
      </c>
      <c r="G68" s="9" t="s">
        <v>38</v>
      </c>
      <c r="H68" s="9">
        <v>4</v>
      </c>
      <c r="I68" s="9">
        <v>59.99</v>
      </c>
      <c r="J68" s="9" t="s">
        <v>24</v>
      </c>
      <c r="K68" s="9" t="s">
        <v>40</v>
      </c>
      <c r="L68" s="9" t="s">
        <v>41</v>
      </c>
      <c r="M68" s="8">
        <v>44491</v>
      </c>
      <c r="N68" s="9">
        <v>239.96</v>
      </c>
      <c r="O68" s="20" t="str">
        <f>TEXT(CustomerData[[#This Row],[Date]],"mmm")</f>
        <v>Jun</v>
      </c>
      <c r="P68" s="9">
        <f>YEAR(CustomerData[[#This Row],[Date]])</f>
        <v>2024</v>
      </c>
      <c r="Q68" s="10">
        <f t="shared" ca="1" si="2"/>
        <v>1667</v>
      </c>
      <c r="R68" s="11" t="str">
        <f t="shared" si="3"/>
        <v>Low Value</v>
      </c>
    </row>
    <row r="69" spans="1:18" x14ac:dyDescent="0.35">
      <c r="A69" s="7" t="s">
        <v>198</v>
      </c>
      <c r="B69" s="8">
        <v>45460</v>
      </c>
      <c r="C69" s="9" t="s">
        <v>29</v>
      </c>
      <c r="D69" s="9" t="s">
        <v>30</v>
      </c>
      <c r="E69" s="9" t="s">
        <v>57</v>
      </c>
      <c r="F69" s="9" t="s">
        <v>58</v>
      </c>
      <c r="G69" s="9" t="s">
        <v>23</v>
      </c>
      <c r="H69" s="9">
        <v>1</v>
      </c>
      <c r="I69" s="9">
        <v>149.99</v>
      </c>
      <c r="J69" s="9" t="s">
        <v>24</v>
      </c>
      <c r="K69" s="9" t="s">
        <v>25</v>
      </c>
      <c r="L69" s="9" t="s">
        <v>41</v>
      </c>
      <c r="M69" s="8">
        <v>44492</v>
      </c>
      <c r="N69" s="9">
        <v>149.99</v>
      </c>
      <c r="O69" s="20" t="str">
        <f>TEXT(CustomerData[[#This Row],[Date]],"mmm")</f>
        <v>Jun</v>
      </c>
      <c r="P69" s="9">
        <f>YEAR(CustomerData[[#This Row],[Date]])</f>
        <v>2024</v>
      </c>
      <c r="Q69" s="10">
        <f t="shared" ca="1" si="2"/>
        <v>1666</v>
      </c>
      <c r="R69" s="11" t="str">
        <f t="shared" si="3"/>
        <v>Low Value</v>
      </c>
    </row>
    <row r="70" spans="1:18" x14ac:dyDescent="0.35">
      <c r="A70" s="7" t="s">
        <v>199</v>
      </c>
      <c r="B70" s="8">
        <v>45461</v>
      </c>
      <c r="C70" s="9" t="s">
        <v>200</v>
      </c>
      <c r="D70" s="9" t="s">
        <v>201</v>
      </c>
      <c r="E70" s="9" t="s">
        <v>111</v>
      </c>
      <c r="F70" s="9" t="s">
        <v>112</v>
      </c>
      <c r="G70" s="9" t="s">
        <v>51</v>
      </c>
      <c r="H70" s="9">
        <v>1</v>
      </c>
      <c r="I70" s="9">
        <v>299.99</v>
      </c>
      <c r="J70" s="9" t="s">
        <v>31</v>
      </c>
      <c r="K70" s="9" t="s">
        <v>45</v>
      </c>
      <c r="L70" s="9" t="s">
        <v>32</v>
      </c>
      <c r="M70" s="8">
        <v>44493</v>
      </c>
      <c r="N70" s="9">
        <v>299.99</v>
      </c>
      <c r="O70" s="20" t="str">
        <f>TEXT(CustomerData[[#This Row],[Date]],"mmm")</f>
        <v>Jun</v>
      </c>
      <c r="P70" s="9">
        <f>YEAR(CustomerData[[#This Row],[Date]])</f>
        <v>2024</v>
      </c>
      <c r="Q70" s="10">
        <f t="shared" ca="1" si="2"/>
        <v>1665</v>
      </c>
      <c r="R70" s="11" t="str">
        <f t="shared" si="3"/>
        <v>Low Value</v>
      </c>
    </row>
    <row r="71" spans="1:18" x14ac:dyDescent="0.35">
      <c r="A71" s="7" t="s">
        <v>202</v>
      </c>
      <c r="B71" s="8">
        <v>45462</v>
      </c>
      <c r="C71" s="9" t="s">
        <v>200</v>
      </c>
      <c r="D71" s="9" t="s">
        <v>201</v>
      </c>
      <c r="E71" s="9" t="s">
        <v>132</v>
      </c>
      <c r="F71" s="9" t="s">
        <v>133</v>
      </c>
      <c r="G71" s="9" t="s">
        <v>51</v>
      </c>
      <c r="H71" s="9">
        <v>2</v>
      </c>
      <c r="I71" s="9">
        <v>199.99</v>
      </c>
      <c r="J71" s="9" t="s">
        <v>24</v>
      </c>
      <c r="K71" s="9" t="s">
        <v>45</v>
      </c>
      <c r="L71" s="9" t="s">
        <v>26</v>
      </c>
      <c r="M71" s="8">
        <v>44494</v>
      </c>
      <c r="N71" s="9">
        <v>399.98</v>
      </c>
      <c r="O71" s="20" t="str">
        <f>TEXT(CustomerData[[#This Row],[Date]],"mmm")</f>
        <v>Jun</v>
      </c>
      <c r="P71" s="9">
        <f>YEAR(CustomerData[[#This Row],[Date]])</f>
        <v>2024</v>
      </c>
      <c r="Q71" s="10">
        <f t="shared" ca="1" si="2"/>
        <v>1664</v>
      </c>
      <c r="R71" s="11" t="str">
        <f t="shared" si="3"/>
        <v>Low Value</v>
      </c>
    </row>
    <row r="72" spans="1:18" x14ac:dyDescent="0.35">
      <c r="A72" s="7" t="s">
        <v>203</v>
      </c>
      <c r="B72" s="8">
        <v>45463</v>
      </c>
      <c r="C72" s="9" t="s">
        <v>204</v>
      </c>
      <c r="D72" s="9" t="s">
        <v>205</v>
      </c>
      <c r="E72" s="9" t="s">
        <v>36</v>
      </c>
      <c r="F72" s="9" t="s">
        <v>37</v>
      </c>
      <c r="G72" s="9" t="s">
        <v>38</v>
      </c>
      <c r="H72" s="9">
        <v>3</v>
      </c>
      <c r="I72" s="9">
        <v>59.99</v>
      </c>
      <c r="J72" s="9" t="s">
        <v>31</v>
      </c>
      <c r="K72" s="9" t="s">
        <v>55</v>
      </c>
      <c r="L72" s="9" t="s">
        <v>26</v>
      </c>
      <c r="M72" s="8">
        <v>44495</v>
      </c>
      <c r="N72" s="9">
        <v>179.97</v>
      </c>
      <c r="O72" s="20" t="str">
        <f>TEXT(CustomerData[[#This Row],[Date]],"mmm")</f>
        <v>Jun</v>
      </c>
      <c r="P72" s="9">
        <f>YEAR(CustomerData[[#This Row],[Date]])</f>
        <v>2024</v>
      </c>
      <c r="Q72" s="10">
        <f t="shared" ca="1" si="2"/>
        <v>1663</v>
      </c>
      <c r="R72" s="11" t="str">
        <f t="shared" si="3"/>
        <v>Low Value</v>
      </c>
    </row>
    <row r="73" spans="1:18" x14ac:dyDescent="0.35">
      <c r="A73" s="7" t="s">
        <v>206</v>
      </c>
      <c r="B73" s="8">
        <v>45464</v>
      </c>
      <c r="C73" s="9" t="s">
        <v>77</v>
      </c>
      <c r="D73" s="9" t="s">
        <v>78</v>
      </c>
      <c r="E73" s="9" t="s">
        <v>49</v>
      </c>
      <c r="F73" s="9" t="s">
        <v>50</v>
      </c>
      <c r="G73" s="9" t="s">
        <v>51</v>
      </c>
      <c r="H73" s="9">
        <v>3</v>
      </c>
      <c r="I73" s="9">
        <v>149.99</v>
      </c>
      <c r="J73" s="9" t="s">
        <v>24</v>
      </c>
      <c r="K73" s="9" t="s">
        <v>25</v>
      </c>
      <c r="L73" s="9" t="s">
        <v>32</v>
      </c>
      <c r="M73" s="8">
        <v>44496</v>
      </c>
      <c r="N73" s="9">
        <v>449.97</v>
      </c>
      <c r="O73" s="20" t="str">
        <f>TEXT(CustomerData[[#This Row],[Date]],"mmm")</f>
        <v>Jun</v>
      </c>
      <c r="P73" s="9">
        <f>YEAR(CustomerData[[#This Row],[Date]])</f>
        <v>2024</v>
      </c>
      <c r="Q73" s="10">
        <f t="shared" ca="1" si="2"/>
        <v>1662</v>
      </c>
      <c r="R73" s="11" t="str">
        <f t="shared" si="3"/>
        <v>Low Value</v>
      </c>
    </row>
    <row r="74" spans="1:18" x14ac:dyDescent="0.35">
      <c r="A74" s="7" t="s">
        <v>207</v>
      </c>
      <c r="B74" s="8">
        <v>45465</v>
      </c>
      <c r="C74" s="9" t="s">
        <v>70</v>
      </c>
      <c r="D74" s="9" t="s">
        <v>71</v>
      </c>
      <c r="E74" s="9" t="s">
        <v>132</v>
      </c>
      <c r="F74" s="9" t="s">
        <v>133</v>
      </c>
      <c r="G74" s="9" t="s">
        <v>51</v>
      </c>
      <c r="H74" s="9">
        <v>3</v>
      </c>
      <c r="I74" s="9">
        <v>199.99</v>
      </c>
      <c r="J74" s="9" t="s">
        <v>24</v>
      </c>
      <c r="K74" s="9" t="s">
        <v>45</v>
      </c>
      <c r="L74" s="9" t="s">
        <v>32</v>
      </c>
      <c r="M74" s="8">
        <v>44497</v>
      </c>
      <c r="N74" s="9">
        <v>599.97</v>
      </c>
      <c r="O74" s="20" t="str">
        <f>TEXT(CustomerData[[#This Row],[Date]],"mmm")</f>
        <v>Jun</v>
      </c>
      <c r="P74" s="9">
        <f>YEAR(CustomerData[[#This Row],[Date]])</f>
        <v>2024</v>
      </c>
      <c r="Q74" s="10">
        <f t="shared" ca="1" si="2"/>
        <v>1661</v>
      </c>
      <c r="R74" s="11" t="str">
        <f t="shared" si="3"/>
        <v>Medium Value</v>
      </c>
    </row>
    <row r="75" spans="1:18" x14ac:dyDescent="0.35">
      <c r="A75" s="7" t="s">
        <v>208</v>
      </c>
      <c r="B75" s="8">
        <v>45466</v>
      </c>
      <c r="C75" s="9" t="s">
        <v>156</v>
      </c>
      <c r="D75" s="9" t="s">
        <v>157</v>
      </c>
      <c r="E75" s="9" t="s">
        <v>66</v>
      </c>
      <c r="F75" s="9" t="s">
        <v>67</v>
      </c>
      <c r="G75" s="9" t="s">
        <v>23</v>
      </c>
      <c r="H75" s="9">
        <v>1</v>
      </c>
      <c r="I75" s="9">
        <v>899.99</v>
      </c>
      <c r="J75" s="9" t="s">
        <v>24</v>
      </c>
      <c r="K75" s="9" t="s">
        <v>25</v>
      </c>
      <c r="L75" s="9" t="s">
        <v>41</v>
      </c>
      <c r="M75" s="8">
        <v>44498</v>
      </c>
      <c r="N75" s="9">
        <v>899.99</v>
      </c>
      <c r="O75" s="20" t="str">
        <f>TEXT(CustomerData[[#This Row],[Date]],"mmm")</f>
        <v>Jun</v>
      </c>
      <c r="P75" s="9">
        <f>YEAR(CustomerData[[#This Row],[Date]])</f>
        <v>2024</v>
      </c>
      <c r="Q75" s="10">
        <f t="shared" ca="1" si="2"/>
        <v>1660</v>
      </c>
      <c r="R75" s="11" t="str">
        <f t="shared" si="3"/>
        <v>Medium Value</v>
      </c>
    </row>
    <row r="76" spans="1:18" x14ac:dyDescent="0.35">
      <c r="A76" s="7" t="s">
        <v>209</v>
      </c>
      <c r="B76" s="8">
        <v>45467</v>
      </c>
      <c r="C76" s="9" t="s">
        <v>29</v>
      </c>
      <c r="D76" s="9" t="s">
        <v>30</v>
      </c>
      <c r="E76" s="9" t="s">
        <v>66</v>
      </c>
      <c r="F76" s="9" t="s">
        <v>67</v>
      </c>
      <c r="G76" s="9" t="s">
        <v>23</v>
      </c>
      <c r="H76" s="9">
        <v>5</v>
      </c>
      <c r="I76" s="9">
        <v>899.99</v>
      </c>
      <c r="J76" s="9" t="s">
        <v>62</v>
      </c>
      <c r="K76" s="9" t="s">
        <v>40</v>
      </c>
      <c r="L76" s="9" t="s">
        <v>41</v>
      </c>
      <c r="M76" s="8">
        <v>44499</v>
      </c>
      <c r="N76" s="9">
        <v>4499.95</v>
      </c>
      <c r="O76" s="20" t="str">
        <f>TEXT(CustomerData[[#This Row],[Date]],"mmm")</f>
        <v>Jun</v>
      </c>
      <c r="P76" s="9">
        <f>YEAR(CustomerData[[#This Row],[Date]])</f>
        <v>2024</v>
      </c>
      <c r="Q76" s="10">
        <f t="shared" ca="1" si="2"/>
        <v>1659</v>
      </c>
      <c r="R76" s="11" t="str">
        <f t="shared" si="3"/>
        <v>VIP Customer</v>
      </c>
    </row>
    <row r="77" spans="1:18" x14ac:dyDescent="0.35">
      <c r="A77" s="7" t="s">
        <v>210</v>
      </c>
      <c r="B77" s="8">
        <v>45468</v>
      </c>
      <c r="C77" s="9" t="s">
        <v>190</v>
      </c>
      <c r="D77" s="9" t="s">
        <v>191</v>
      </c>
      <c r="E77" s="9" t="s">
        <v>36</v>
      </c>
      <c r="F77" s="9" t="s">
        <v>37</v>
      </c>
      <c r="G77" s="9" t="s">
        <v>38</v>
      </c>
      <c r="H77" s="9">
        <v>2</v>
      </c>
      <c r="I77" s="9">
        <v>59.99</v>
      </c>
      <c r="J77" s="9" t="s">
        <v>24</v>
      </c>
      <c r="K77" s="9" t="s">
        <v>45</v>
      </c>
      <c r="L77" s="9" t="s">
        <v>41</v>
      </c>
      <c r="M77" s="8">
        <v>44500</v>
      </c>
      <c r="N77" s="9">
        <v>119.98</v>
      </c>
      <c r="O77" s="20" t="str">
        <f>TEXT(CustomerData[[#This Row],[Date]],"mmm")</f>
        <v>Jun</v>
      </c>
      <c r="P77" s="9">
        <f>YEAR(CustomerData[[#This Row],[Date]])</f>
        <v>2024</v>
      </c>
      <c r="Q77" s="10">
        <f t="shared" ca="1" si="2"/>
        <v>1658</v>
      </c>
      <c r="R77" s="11" t="str">
        <f t="shared" si="3"/>
        <v>Low Value</v>
      </c>
    </row>
    <row r="78" spans="1:18" x14ac:dyDescent="0.35">
      <c r="A78" s="7" t="s">
        <v>211</v>
      </c>
      <c r="B78" s="8">
        <v>45469</v>
      </c>
      <c r="C78" s="9" t="s">
        <v>204</v>
      </c>
      <c r="D78" s="9" t="s">
        <v>205</v>
      </c>
      <c r="E78" s="9" t="s">
        <v>21</v>
      </c>
      <c r="F78" s="9" t="s">
        <v>22</v>
      </c>
      <c r="G78" s="9" t="s">
        <v>23</v>
      </c>
      <c r="H78" s="9">
        <v>4</v>
      </c>
      <c r="I78" s="9">
        <v>249.99</v>
      </c>
      <c r="J78" s="9" t="s">
        <v>62</v>
      </c>
      <c r="K78" s="9" t="s">
        <v>25</v>
      </c>
      <c r="L78" s="9" t="s">
        <v>41</v>
      </c>
      <c r="M78" s="8">
        <v>44501</v>
      </c>
      <c r="N78" s="9">
        <v>999.96</v>
      </c>
      <c r="O78" s="20" t="str">
        <f>TEXT(CustomerData[[#This Row],[Date]],"mmm")</f>
        <v>Jun</v>
      </c>
      <c r="P78" s="9">
        <f>YEAR(CustomerData[[#This Row],[Date]])</f>
        <v>2024</v>
      </c>
      <c r="Q78" s="10">
        <f t="shared" ca="1" si="2"/>
        <v>1657</v>
      </c>
      <c r="R78" s="11" t="str">
        <f t="shared" si="3"/>
        <v>Medium Value</v>
      </c>
    </row>
    <row r="79" spans="1:18" x14ac:dyDescent="0.35">
      <c r="A79" s="7" t="s">
        <v>212</v>
      </c>
      <c r="B79" s="8">
        <v>45470</v>
      </c>
      <c r="C79" s="9" t="s">
        <v>101</v>
      </c>
      <c r="D79" s="9" t="s">
        <v>102</v>
      </c>
      <c r="E79" s="9" t="s">
        <v>21</v>
      </c>
      <c r="F79" s="9" t="s">
        <v>22</v>
      </c>
      <c r="G79" s="9" t="s">
        <v>23</v>
      </c>
      <c r="H79" s="9">
        <v>2</v>
      </c>
      <c r="I79" s="9">
        <v>249.99</v>
      </c>
      <c r="J79" s="9" t="s">
        <v>24</v>
      </c>
      <c r="K79" s="9" t="s">
        <v>45</v>
      </c>
      <c r="L79" s="9" t="s">
        <v>32</v>
      </c>
      <c r="M79" s="8">
        <v>44502</v>
      </c>
      <c r="N79" s="9">
        <v>499.98</v>
      </c>
      <c r="O79" s="20" t="str">
        <f>TEXT(CustomerData[[#This Row],[Date]],"mmm")</f>
        <v>Jun</v>
      </c>
      <c r="P79" s="9">
        <f>YEAR(CustomerData[[#This Row],[Date]])</f>
        <v>2024</v>
      </c>
      <c r="Q79" s="10">
        <f t="shared" ca="1" si="2"/>
        <v>1656</v>
      </c>
      <c r="R79" s="11" t="str">
        <f t="shared" si="3"/>
        <v>Low Value</v>
      </c>
    </row>
    <row r="80" spans="1:18" x14ac:dyDescent="0.35">
      <c r="A80" s="7" t="s">
        <v>213</v>
      </c>
      <c r="B80" s="8">
        <v>45471</v>
      </c>
      <c r="C80" s="9" t="s">
        <v>153</v>
      </c>
      <c r="D80" s="9" t="s">
        <v>154</v>
      </c>
      <c r="E80" s="9" t="s">
        <v>111</v>
      </c>
      <c r="F80" s="9" t="s">
        <v>112</v>
      </c>
      <c r="G80" s="9" t="s">
        <v>51</v>
      </c>
      <c r="H80" s="9">
        <v>1</v>
      </c>
      <c r="I80" s="9">
        <v>299.99</v>
      </c>
      <c r="J80" s="9" t="s">
        <v>24</v>
      </c>
      <c r="K80" s="9" t="s">
        <v>40</v>
      </c>
      <c r="L80" s="9" t="s">
        <v>26</v>
      </c>
      <c r="M80" s="8">
        <v>44503</v>
      </c>
      <c r="N80" s="9">
        <v>299.99</v>
      </c>
      <c r="O80" s="20" t="str">
        <f>TEXT(CustomerData[[#This Row],[Date]],"mmm")</f>
        <v>Jun</v>
      </c>
      <c r="P80" s="9">
        <f>YEAR(CustomerData[[#This Row],[Date]])</f>
        <v>2024</v>
      </c>
      <c r="Q80" s="10">
        <f t="shared" ca="1" si="2"/>
        <v>1655</v>
      </c>
      <c r="R80" s="11" t="str">
        <f t="shared" si="3"/>
        <v>Low Value</v>
      </c>
    </row>
    <row r="81" spans="1:18" x14ac:dyDescent="0.35">
      <c r="A81" s="7" t="s">
        <v>214</v>
      </c>
      <c r="B81" s="8">
        <v>45472</v>
      </c>
      <c r="C81" s="9" t="s">
        <v>91</v>
      </c>
      <c r="D81" s="9" t="s">
        <v>92</v>
      </c>
      <c r="E81" s="9" t="s">
        <v>123</v>
      </c>
      <c r="F81" s="9" t="s">
        <v>124</v>
      </c>
      <c r="G81" s="9" t="s">
        <v>23</v>
      </c>
      <c r="H81" s="9">
        <v>2</v>
      </c>
      <c r="I81" s="9">
        <v>89.99</v>
      </c>
      <c r="J81" s="9" t="s">
        <v>39</v>
      </c>
      <c r="K81" s="9" t="s">
        <v>40</v>
      </c>
      <c r="L81" s="9" t="s">
        <v>26</v>
      </c>
      <c r="M81" s="8">
        <v>44504</v>
      </c>
      <c r="N81" s="9">
        <v>179.98</v>
      </c>
      <c r="O81" s="20" t="str">
        <f>TEXT(CustomerData[[#This Row],[Date]],"mmm")</f>
        <v>Jun</v>
      </c>
      <c r="P81" s="9">
        <f>YEAR(CustomerData[[#This Row],[Date]])</f>
        <v>2024</v>
      </c>
      <c r="Q81" s="10">
        <f t="shared" ca="1" si="2"/>
        <v>1654</v>
      </c>
      <c r="R81" s="11" t="str">
        <f t="shared" si="3"/>
        <v>Low Value</v>
      </c>
    </row>
    <row r="82" spans="1:18" x14ac:dyDescent="0.35">
      <c r="A82" s="7" t="s">
        <v>215</v>
      </c>
      <c r="B82" s="8">
        <v>45473</v>
      </c>
      <c r="C82" s="9" t="s">
        <v>153</v>
      </c>
      <c r="D82" s="9" t="s">
        <v>154</v>
      </c>
      <c r="E82" s="9" t="s">
        <v>111</v>
      </c>
      <c r="F82" s="9" t="s">
        <v>112</v>
      </c>
      <c r="G82" s="9" t="s">
        <v>51</v>
      </c>
      <c r="H82" s="9">
        <v>3</v>
      </c>
      <c r="I82" s="9">
        <v>299.99</v>
      </c>
      <c r="J82" s="9" t="s">
        <v>24</v>
      </c>
      <c r="K82" s="9" t="s">
        <v>25</v>
      </c>
      <c r="L82" s="9" t="s">
        <v>26</v>
      </c>
      <c r="M82" s="8">
        <v>44505</v>
      </c>
      <c r="N82" s="9">
        <v>899.97</v>
      </c>
      <c r="O82" s="20" t="str">
        <f>TEXT(CustomerData[[#This Row],[Date]],"mmm")</f>
        <v>Jun</v>
      </c>
      <c r="P82" s="9">
        <f>YEAR(CustomerData[[#This Row],[Date]])</f>
        <v>2024</v>
      </c>
      <c r="Q82" s="10">
        <f t="shared" ca="1" si="2"/>
        <v>1653</v>
      </c>
      <c r="R82" s="11" t="str">
        <f t="shared" si="3"/>
        <v>Medium Value</v>
      </c>
    </row>
    <row r="83" spans="1:18" x14ac:dyDescent="0.35">
      <c r="A83" s="7" t="s">
        <v>216</v>
      </c>
      <c r="B83" s="8">
        <v>45474</v>
      </c>
      <c r="C83" s="9" t="s">
        <v>91</v>
      </c>
      <c r="D83" s="9" t="s">
        <v>92</v>
      </c>
      <c r="E83" s="9" t="s">
        <v>85</v>
      </c>
      <c r="F83" s="9" t="s">
        <v>86</v>
      </c>
      <c r="G83" s="9" t="s">
        <v>23</v>
      </c>
      <c r="H83" s="9">
        <v>2</v>
      </c>
      <c r="I83" s="9">
        <v>699.99</v>
      </c>
      <c r="J83" s="9" t="s">
        <v>31</v>
      </c>
      <c r="K83" s="9" t="s">
        <v>45</v>
      </c>
      <c r="L83" s="9" t="s">
        <v>32</v>
      </c>
      <c r="M83" s="8">
        <v>44506</v>
      </c>
      <c r="N83" s="9">
        <v>1399.98</v>
      </c>
      <c r="O83" s="20" t="str">
        <f>TEXT(CustomerData[[#This Row],[Date]],"mmm")</f>
        <v>Jul</v>
      </c>
      <c r="P83" s="9">
        <f>YEAR(CustomerData[[#This Row],[Date]])</f>
        <v>2024</v>
      </c>
      <c r="Q83" s="10">
        <f t="shared" ca="1" si="2"/>
        <v>1652</v>
      </c>
      <c r="R83" s="11" t="str">
        <f t="shared" si="3"/>
        <v>High Value</v>
      </c>
    </row>
    <row r="84" spans="1:18" x14ac:dyDescent="0.35">
      <c r="A84" s="7" t="s">
        <v>217</v>
      </c>
      <c r="B84" s="8">
        <v>45475</v>
      </c>
      <c r="C84" s="9" t="s">
        <v>126</v>
      </c>
      <c r="D84" s="9" t="s">
        <v>127</v>
      </c>
      <c r="E84" s="9" t="s">
        <v>66</v>
      </c>
      <c r="F84" s="9" t="s">
        <v>67</v>
      </c>
      <c r="G84" s="9" t="s">
        <v>23</v>
      </c>
      <c r="H84" s="9">
        <v>4</v>
      </c>
      <c r="I84" s="9">
        <v>899.99</v>
      </c>
      <c r="J84" s="9" t="s">
        <v>62</v>
      </c>
      <c r="K84" s="9" t="s">
        <v>40</v>
      </c>
      <c r="L84" s="9" t="s">
        <v>41</v>
      </c>
      <c r="M84" s="8">
        <v>44507</v>
      </c>
      <c r="N84" s="9">
        <v>3599.96</v>
      </c>
      <c r="O84" s="20" t="str">
        <f>TEXT(CustomerData[[#This Row],[Date]],"mmm")</f>
        <v>Jul</v>
      </c>
      <c r="P84" s="9">
        <f>YEAR(CustomerData[[#This Row],[Date]])</f>
        <v>2024</v>
      </c>
      <c r="Q84" s="10">
        <f t="shared" ca="1" si="2"/>
        <v>1651</v>
      </c>
      <c r="R84" s="11" t="str">
        <f t="shared" si="3"/>
        <v>VIP Customer</v>
      </c>
    </row>
    <row r="85" spans="1:18" x14ac:dyDescent="0.35">
      <c r="A85" s="7" t="s">
        <v>218</v>
      </c>
      <c r="B85" s="8">
        <v>45476</v>
      </c>
      <c r="C85" s="9" t="s">
        <v>219</v>
      </c>
      <c r="D85" s="9" t="s">
        <v>220</v>
      </c>
      <c r="E85" s="9" t="s">
        <v>49</v>
      </c>
      <c r="F85" s="9" t="s">
        <v>50</v>
      </c>
      <c r="G85" s="9" t="s">
        <v>51</v>
      </c>
      <c r="H85" s="9">
        <v>2</v>
      </c>
      <c r="I85" s="9">
        <v>149.99</v>
      </c>
      <c r="J85" s="9" t="s">
        <v>31</v>
      </c>
      <c r="K85" s="9" t="s">
        <v>55</v>
      </c>
      <c r="L85" s="9" t="s">
        <v>26</v>
      </c>
      <c r="M85" s="8">
        <v>44508</v>
      </c>
      <c r="N85" s="9">
        <v>299.98</v>
      </c>
      <c r="O85" s="20" t="str">
        <f>TEXT(CustomerData[[#This Row],[Date]],"mmm")</f>
        <v>Jul</v>
      </c>
      <c r="P85" s="9">
        <f>YEAR(CustomerData[[#This Row],[Date]])</f>
        <v>2024</v>
      </c>
      <c r="Q85" s="10">
        <f t="shared" ca="1" si="2"/>
        <v>1650</v>
      </c>
      <c r="R85" s="11" t="str">
        <f t="shared" si="3"/>
        <v>Low Value</v>
      </c>
    </row>
    <row r="86" spans="1:18" x14ac:dyDescent="0.35">
      <c r="A86" s="7" t="s">
        <v>222</v>
      </c>
      <c r="B86" s="8">
        <v>45477</v>
      </c>
      <c r="C86" s="9" t="s">
        <v>108</v>
      </c>
      <c r="D86" s="9" t="s">
        <v>109</v>
      </c>
      <c r="E86" s="9" t="s">
        <v>49</v>
      </c>
      <c r="F86" s="9" t="s">
        <v>50</v>
      </c>
      <c r="G86" s="9" t="s">
        <v>51</v>
      </c>
      <c r="H86" s="9">
        <v>2</v>
      </c>
      <c r="I86" s="9">
        <v>149.99</v>
      </c>
      <c r="J86" s="9" t="s">
        <v>62</v>
      </c>
      <c r="K86" s="9" t="s">
        <v>68</v>
      </c>
      <c r="L86" s="9" t="s">
        <v>41</v>
      </c>
      <c r="M86" s="8">
        <v>44509</v>
      </c>
      <c r="N86" s="9">
        <v>299.98</v>
      </c>
      <c r="O86" s="20" t="str">
        <f>TEXT(CustomerData[[#This Row],[Date]],"mmm")</f>
        <v>Jul</v>
      </c>
      <c r="P86" s="9">
        <f>YEAR(CustomerData[[#This Row],[Date]])</f>
        <v>2024</v>
      </c>
      <c r="Q86" s="10">
        <f t="shared" ca="1" si="2"/>
        <v>1649</v>
      </c>
      <c r="R86" s="11" t="str">
        <f t="shared" si="3"/>
        <v>Low Value</v>
      </c>
    </row>
    <row r="87" spans="1:18" x14ac:dyDescent="0.35">
      <c r="A87" s="7" t="s">
        <v>223</v>
      </c>
      <c r="B87" s="8">
        <v>45478</v>
      </c>
      <c r="C87" s="9" t="s">
        <v>94</v>
      </c>
      <c r="D87" s="9" t="s">
        <v>95</v>
      </c>
      <c r="E87" s="9" t="s">
        <v>123</v>
      </c>
      <c r="F87" s="9" t="s">
        <v>124</v>
      </c>
      <c r="G87" s="9" t="s">
        <v>23</v>
      </c>
      <c r="H87" s="9">
        <v>1</v>
      </c>
      <c r="I87" s="9">
        <v>89.99</v>
      </c>
      <c r="J87" s="9" t="s">
        <v>31</v>
      </c>
      <c r="K87" s="9" t="s">
        <v>45</v>
      </c>
      <c r="L87" s="9" t="s">
        <v>41</v>
      </c>
      <c r="M87" s="8">
        <v>44510</v>
      </c>
      <c r="N87" s="9">
        <v>89.99</v>
      </c>
      <c r="O87" s="20" t="str">
        <f>TEXT(CustomerData[[#This Row],[Date]],"mmm")</f>
        <v>Jul</v>
      </c>
      <c r="P87" s="9">
        <f>YEAR(CustomerData[[#This Row],[Date]])</f>
        <v>2024</v>
      </c>
      <c r="Q87" s="10">
        <f t="shared" ca="1" si="2"/>
        <v>1648</v>
      </c>
      <c r="R87" s="11" t="str">
        <f t="shared" si="3"/>
        <v>Low Value</v>
      </c>
    </row>
    <row r="88" spans="1:18" x14ac:dyDescent="0.35">
      <c r="A88" s="7" t="s">
        <v>224</v>
      </c>
      <c r="B88" s="8">
        <v>45479</v>
      </c>
      <c r="C88" s="9" t="s">
        <v>91</v>
      </c>
      <c r="D88" s="9" t="s">
        <v>92</v>
      </c>
      <c r="E88" s="9" t="s">
        <v>111</v>
      </c>
      <c r="F88" s="9" t="s">
        <v>112</v>
      </c>
      <c r="G88" s="9" t="s">
        <v>51</v>
      </c>
      <c r="H88" s="9">
        <v>5</v>
      </c>
      <c r="I88" s="9">
        <v>299.99</v>
      </c>
      <c r="J88" s="9" t="s">
        <v>31</v>
      </c>
      <c r="K88" s="9" t="s">
        <v>45</v>
      </c>
      <c r="L88" s="9" t="s">
        <v>26</v>
      </c>
      <c r="M88" s="8">
        <v>44511</v>
      </c>
      <c r="N88" s="9">
        <v>1499.95</v>
      </c>
      <c r="O88" s="20" t="str">
        <f>TEXT(CustomerData[[#This Row],[Date]],"mmm")</f>
        <v>Jul</v>
      </c>
      <c r="P88" s="9">
        <f>YEAR(CustomerData[[#This Row],[Date]])</f>
        <v>2024</v>
      </c>
      <c r="Q88" s="10">
        <f t="shared" ca="1" si="2"/>
        <v>1647</v>
      </c>
      <c r="R88" s="11" t="str">
        <f t="shared" si="3"/>
        <v>High Value</v>
      </c>
    </row>
    <row r="89" spans="1:18" x14ac:dyDescent="0.35">
      <c r="A89" s="7" t="s">
        <v>225</v>
      </c>
      <c r="B89" s="8">
        <v>45480</v>
      </c>
      <c r="C89" s="9" t="s">
        <v>190</v>
      </c>
      <c r="D89" s="9" t="s">
        <v>191</v>
      </c>
      <c r="E89" s="9" t="s">
        <v>57</v>
      </c>
      <c r="F89" s="9" t="s">
        <v>58</v>
      </c>
      <c r="G89" s="9" t="s">
        <v>23</v>
      </c>
      <c r="H89" s="9">
        <v>4</v>
      </c>
      <c r="I89" s="9">
        <v>149.99</v>
      </c>
      <c r="J89" s="9" t="s">
        <v>62</v>
      </c>
      <c r="K89" s="9" t="s">
        <v>40</v>
      </c>
      <c r="L89" s="9" t="s">
        <v>32</v>
      </c>
      <c r="M89" s="8">
        <v>44512</v>
      </c>
      <c r="N89" s="9">
        <v>599.96</v>
      </c>
      <c r="O89" s="20" t="str">
        <f>TEXT(CustomerData[[#This Row],[Date]],"mmm")</f>
        <v>Jul</v>
      </c>
      <c r="P89" s="9">
        <f>YEAR(CustomerData[[#This Row],[Date]])</f>
        <v>2024</v>
      </c>
      <c r="Q89" s="10">
        <f t="shared" ca="1" si="2"/>
        <v>1646</v>
      </c>
      <c r="R89" s="11" t="str">
        <f t="shared" si="3"/>
        <v>Medium Value</v>
      </c>
    </row>
    <row r="90" spans="1:18" x14ac:dyDescent="0.35">
      <c r="A90" s="7" t="s">
        <v>226</v>
      </c>
      <c r="B90" s="8">
        <v>45481</v>
      </c>
      <c r="C90" s="9" t="s">
        <v>193</v>
      </c>
      <c r="D90" s="9" t="s">
        <v>194</v>
      </c>
      <c r="E90" s="9" t="s">
        <v>21</v>
      </c>
      <c r="F90" s="9" t="s">
        <v>22</v>
      </c>
      <c r="G90" s="9" t="s">
        <v>23</v>
      </c>
      <c r="H90" s="9">
        <v>5</v>
      </c>
      <c r="I90" s="9">
        <v>249.99</v>
      </c>
      <c r="J90" s="9" t="s">
        <v>39</v>
      </c>
      <c r="K90" s="9" t="s">
        <v>68</v>
      </c>
      <c r="L90" s="9" t="s">
        <v>32</v>
      </c>
      <c r="M90" s="8">
        <v>44513</v>
      </c>
      <c r="N90" s="9">
        <v>1249.95</v>
      </c>
      <c r="O90" s="20" t="str">
        <f>TEXT(CustomerData[[#This Row],[Date]],"mmm")</f>
        <v>Jul</v>
      </c>
      <c r="P90" s="9">
        <f>YEAR(CustomerData[[#This Row],[Date]])</f>
        <v>2024</v>
      </c>
      <c r="Q90" s="10">
        <f t="shared" ca="1" si="2"/>
        <v>1645</v>
      </c>
      <c r="R90" s="11" t="str">
        <f t="shared" si="3"/>
        <v>High Value</v>
      </c>
    </row>
    <row r="91" spans="1:18" x14ac:dyDescent="0.35">
      <c r="A91" s="7" t="s">
        <v>227</v>
      </c>
      <c r="B91" s="8">
        <v>45482</v>
      </c>
      <c r="C91" s="9" t="s">
        <v>70</v>
      </c>
      <c r="D91" s="9" t="s">
        <v>71</v>
      </c>
      <c r="E91" s="9" t="s">
        <v>21</v>
      </c>
      <c r="F91" s="9" t="s">
        <v>22</v>
      </c>
      <c r="G91" s="9" t="s">
        <v>23</v>
      </c>
      <c r="H91" s="9">
        <v>3</v>
      </c>
      <c r="I91" s="9">
        <v>249.99</v>
      </c>
      <c r="J91" s="9" t="s">
        <v>39</v>
      </c>
      <c r="K91" s="9" t="s">
        <v>45</v>
      </c>
      <c r="L91" s="9" t="s">
        <v>32</v>
      </c>
      <c r="M91" s="8">
        <v>44514</v>
      </c>
      <c r="N91" s="9">
        <v>749.97</v>
      </c>
      <c r="O91" s="20" t="str">
        <f>TEXT(CustomerData[[#This Row],[Date]],"mmm")</f>
        <v>Jul</v>
      </c>
      <c r="P91" s="9">
        <f>YEAR(CustomerData[[#This Row],[Date]])</f>
        <v>2024</v>
      </c>
      <c r="Q91" s="10">
        <f t="shared" ca="1" si="2"/>
        <v>1644</v>
      </c>
      <c r="R91" s="11" t="str">
        <f t="shared" si="3"/>
        <v>Medium Value</v>
      </c>
    </row>
    <row r="92" spans="1:18" x14ac:dyDescent="0.35">
      <c r="A92" s="7" t="s">
        <v>228</v>
      </c>
      <c r="B92" s="8">
        <v>45483</v>
      </c>
      <c r="C92" s="9" t="s">
        <v>43</v>
      </c>
      <c r="D92" s="9" t="s">
        <v>44</v>
      </c>
      <c r="E92" s="9" t="s">
        <v>132</v>
      </c>
      <c r="F92" s="9" t="s">
        <v>133</v>
      </c>
      <c r="G92" s="9" t="s">
        <v>51</v>
      </c>
      <c r="H92" s="9">
        <v>4</v>
      </c>
      <c r="I92" s="9">
        <v>199.99</v>
      </c>
      <c r="J92" s="9" t="s">
        <v>24</v>
      </c>
      <c r="K92" s="9" t="s">
        <v>45</v>
      </c>
      <c r="L92" s="9" t="s">
        <v>41</v>
      </c>
      <c r="M92" s="8">
        <v>44515</v>
      </c>
      <c r="N92" s="9">
        <v>799.96</v>
      </c>
      <c r="O92" s="20" t="str">
        <f>TEXT(CustomerData[[#This Row],[Date]],"mmm")</f>
        <v>Jul</v>
      </c>
      <c r="P92" s="9">
        <f>YEAR(CustomerData[[#This Row],[Date]])</f>
        <v>2024</v>
      </c>
      <c r="Q92" s="10">
        <f t="shared" ca="1" si="2"/>
        <v>1643</v>
      </c>
      <c r="R92" s="11" t="str">
        <f t="shared" si="3"/>
        <v>Medium Value</v>
      </c>
    </row>
    <row r="93" spans="1:18" x14ac:dyDescent="0.35">
      <c r="A93" s="7" t="s">
        <v>229</v>
      </c>
      <c r="B93" s="8">
        <v>45484</v>
      </c>
      <c r="C93" s="9" t="s">
        <v>165</v>
      </c>
      <c r="D93" s="9" t="s">
        <v>166</v>
      </c>
      <c r="E93" s="9" t="s">
        <v>132</v>
      </c>
      <c r="F93" s="9" t="s">
        <v>133</v>
      </c>
      <c r="G93" s="9" t="s">
        <v>51</v>
      </c>
      <c r="H93" s="9">
        <v>5</v>
      </c>
      <c r="I93" s="9">
        <v>199.99</v>
      </c>
      <c r="J93" s="9" t="s">
        <v>24</v>
      </c>
      <c r="K93" s="9" t="s">
        <v>45</v>
      </c>
      <c r="L93" s="9" t="s">
        <v>32</v>
      </c>
      <c r="M93" s="8">
        <v>44516</v>
      </c>
      <c r="N93" s="9">
        <v>999.95</v>
      </c>
      <c r="O93" s="20" t="str">
        <f>TEXT(CustomerData[[#This Row],[Date]],"mmm")</f>
        <v>Jul</v>
      </c>
      <c r="P93" s="9">
        <f>YEAR(CustomerData[[#This Row],[Date]])</f>
        <v>2024</v>
      </c>
      <c r="Q93" s="10">
        <f t="shared" ca="1" si="2"/>
        <v>1642</v>
      </c>
      <c r="R93" s="11" t="str">
        <f t="shared" si="3"/>
        <v>Medium Value</v>
      </c>
    </row>
    <row r="94" spans="1:18" x14ac:dyDescent="0.35">
      <c r="A94" s="7" t="s">
        <v>230</v>
      </c>
      <c r="B94" s="8">
        <v>45485</v>
      </c>
      <c r="C94" s="9" t="s">
        <v>91</v>
      </c>
      <c r="D94" s="9" t="s">
        <v>92</v>
      </c>
      <c r="E94" s="9" t="s">
        <v>123</v>
      </c>
      <c r="F94" s="9" t="s">
        <v>124</v>
      </c>
      <c r="G94" s="9" t="s">
        <v>23</v>
      </c>
      <c r="H94" s="9">
        <v>2</v>
      </c>
      <c r="I94" s="9">
        <v>89.99</v>
      </c>
      <c r="J94" s="9" t="s">
        <v>24</v>
      </c>
      <c r="K94" s="9" t="s">
        <v>68</v>
      </c>
      <c r="L94" s="9" t="s">
        <v>32</v>
      </c>
      <c r="M94" s="8">
        <v>44517</v>
      </c>
      <c r="N94" s="9">
        <v>179.98</v>
      </c>
      <c r="O94" s="20" t="str">
        <f>TEXT(CustomerData[[#This Row],[Date]],"mmm")</f>
        <v>Jul</v>
      </c>
      <c r="P94" s="9">
        <f>YEAR(CustomerData[[#This Row],[Date]])</f>
        <v>2024</v>
      </c>
      <c r="Q94" s="10">
        <f t="shared" ca="1" si="2"/>
        <v>1641</v>
      </c>
      <c r="R94" s="11" t="str">
        <f t="shared" si="3"/>
        <v>Low Value</v>
      </c>
    </row>
    <row r="95" spans="1:18" x14ac:dyDescent="0.35">
      <c r="A95" s="7" t="s">
        <v>231</v>
      </c>
      <c r="B95" s="8">
        <v>45486</v>
      </c>
      <c r="C95" s="9" t="s">
        <v>204</v>
      </c>
      <c r="D95" s="9" t="s">
        <v>205</v>
      </c>
      <c r="E95" s="9" t="s">
        <v>66</v>
      </c>
      <c r="F95" s="9" t="s">
        <v>67</v>
      </c>
      <c r="G95" s="9" t="s">
        <v>23</v>
      </c>
      <c r="H95" s="9">
        <v>5</v>
      </c>
      <c r="I95" s="9">
        <v>899.99</v>
      </c>
      <c r="J95" s="9" t="s">
        <v>62</v>
      </c>
      <c r="K95" s="9" t="s">
        <v>68</v>
      </c>
      <c r="L95" s="9" t="s">
        <v>26</v>
      </c>
      <c r="M95" s="8">
        <v>44518</v>
      </c>
      <c r="N95" s="9">
        <v>4499.95</v>
      </c>
      <c r="O95" s="20" t="str">
        <f>TEXT(CustomerData[[#This Row],[Date]],"mmm")</f>
        <v>Jul</v>
      </c>
      <c r="P95" s="9">
        <f>YEAR(CustomerData[[#This Row],[Date]])</f>
        <v>2024</v>
      </c>
      <c r="Q95" s="10">
        <f t="shared" ca="1" si="2"/>
        <v>1640</v>
      </c>
      <c r="R95" s="11" t="str">
        <f t="shared" si="3"/>
        <v>VIP Customer</v>
      </c>
    </row>
    <row r="96" spans="1:18" x14ac:dyDescent="0.35">
      <c r="A96" s="7" t="s">
        <v>232</v>
      </c>
      <c r="B96" s="8">
        <v>45487</v>
      </c>
      <c r="C96" s="9" t="s">
        <v>114</v>
      </c>
      <c r="D96" s="9" t="s">
        <v>115</v>
      </c>
      <c r="E96" s="9" t="s">
        <v>57</v>
      </c>
      <c r="F96" s="9" t="s">
        <v>58</v>
      </c>
      <c r="G96" s="9" t="s">
        <v>23</v>
      </c>
      <c r="H96" s="9">
        <v>3</v>
      </c>
      <c r="I96" s="9">
        <v>149.99</v>
      </c>
      <c r="J96" s="9" t="s">
        <v>39</v>
      </c>
      <c r="K96" s="9" t="s">
        <v>68</v>
      </c>
      <c r="L96" s="9" t="s">
        <v>26</v>
      </c>
      <c r="M96" s="8">
        <v>44519</v>
      </c>
      <c r="N96" s="9">
        <v>449.97</v>
      </c>
      <c r="O96" s="20" t="str">
        <f>TEXT(CustomerData[[#This Row],[Date]],"mmm")</f>
        <v>Jul</v>
      </c>
      <c r="P96" s="9">
        <f>YEAR(CustomerData[[#This Row],[Date]])</f>
        <v>2024</v>
      </c>
      <c r="Q96" s="10">
        <f t="shared" ca="1" si="2"/>
        <v>1639</v>
      </c>
      <c r="R96" s="11" t="str">
        <f t="shared" si="3"/>
        <v>Low Value</v>
      </c>
    </row>
    <row r="97" spans="1:18" x14ac:dyDescent="0.35">
      <c r="A97" s="7" t="s">
        <v>233</v>
      </c>
      <c r="B97" s="8">
        <v>45488</v>
      </c>
      <c r="C97" s="9" t="s">
        <v>108</v>
      </c>
      <c r="D97" s="9" t="s">
        <v>109</v>
      </c>
      <c r="E97" s="9" t="s">
        <v>49</v>
      </c>
      <c r="F97" s="9" t="s">
        <v>50</v>
      </c>
      <c r="G97" s="9" t="s">
        <v>51</v>
      </c>
      <c r="H97" s="9">
        <v>5</v>
      </c>
      <c r="I97" s="9">
        <v>149.99</v>
      </c>
      <c r="J97" s="9" t="s">
        <v>31</v>
      </c>
      <c r="K97" s="9" t="s">
        <v>25</v>
      </c>
      <c r="L97" s="9" t="s">
        <v>26</v>
      </c>
      <c r="M97" s="8">
        <v>44520</v>
      </c>
      <c r="N97" s="9">
        <v>749.95</v>
      </c>
      <c r="O97" s="20" t="str">
        <f>TEXT(CustomerData[[#This Row],[Date]],"mmm")</f>
        <v>Jul</v>
      </c>
      <c r="P97" s="9">
        <f>YEAR(CustomerData[[#This Row],[Date]])</f>
        <v>2024</v>
      </c>
      <c r="Q97" s="10">
        <f t="shared" ca="1" si="2"/>
        <v>1638</v>
      </c>
      <c r="R97" s="11" t="str">
        <f t="shared" si="3"/>
        <v>Medium Value</v>
      </c>
    </row>
    <row r="98" spans="1:18" x14ac:dyDescent="0.35">
      <c r="A98" s="7" t="s">
        <v>234</v>
      </c>
      <c r="B98" s="8">
        <v>45489</v>
      </c>
      <c r="C98" s="9" t="s">
        <v>235</v>
      </c>
      <c r="D98" s="9" t="s">
        <v>236</v>
      </c>
      <c r="E98" s="9" t="s">
        <v>120</v>
      </c>
      <c r="F98" s="9" t="s">
        <v>121</v>
      </c>
      <c r="G98" s="9" t="s">
        <v>38</v>
      </c>
      <c r="H98" s="9">
        <v>3</v>
      </c>
      <c r="I98" s="9">
        <v>79.989999999999995</v>
      </c>
      <c r="J98" s="9" t="s">
        <v>24</v>
      </c>
      <c r="K98" s="9" t="s">
        <v>25</v>
      </c>
      <c r="L98" s="9" t="s">
        <v>32</v>
      </c>
      <c r="M98" s="8">
        <v>44521</v>
      </c>
      <c r="N98" s="9">
        <v>239.97</v>
      </c>
      <c r="O98" s="20" t="str">
        <f>TEXT(CustomerData[[#This Row],[Date]],"mmm")</f>
        <v>Jul</v>
      </c>
      <c r="P98" s="9">
        <f>YEAR(CustomerData[[#This Row],[Date]])</f>
        <v>2024</v>
      </c>
      <c r="Q98" s="10">
        <f t="shared" ca="1" si="2"/>
        <v>1637</v>
      </c>
      <c r="R98" s="11" t="str">
        <f t="shared" si="3"/>
        <v>Low Value</v>
      </c>
    </row>
    <row r="99" spans="1:18" x14ac:dyDescent="0.35">
      <c r="A99" s="7" t="s">
        <v>237</v>
      </c>
      <c r="B99" s="8">
        <v>45490</v>
      </c>
      <c r="C99" s="9" t="s">
        <v>150</v>
      </c>
      <c r="D99" s="9" t="s">
        <v>151</v>
      </c>
      <c r="E99" s="9" t="s">
        <v>21</v>
      </c>
      <c r="F99" s="9" t="s">
        <v>22</v>
      </c>
      <c r="G99" s="9" t="s">
        <v>23</v>
      </c>
      <c r="H99" s="9">
        <v>2</v>
      </c>
      <c r="I99" s="9">
        <v>249.99</v>
      </c>
      <c r="J99" s="9" t="s">
        <v>24</v>
      </c>
      <c r="K99" s="9" t="s">
        <v>40</v>
      </c>
      <c r="L99" s="9" t="s">
        <v>41</v>
      </c>
      <c r="M99" s="8">
        <v>44522</v>
      </c>
      <c r="N99" s="9">
        <v>499.98</v>
      </c>
      <c r="O99" s="20" t="str">
        <f>TEXT(CustomerData[[#This Row],[Date]],"mmm")</f>
        <v>Jul</v>
      </c>
      <c r="P99" s="9">
        <f>YEAR(CustomerData[[#This Row],[Date]])</f>
        <v>2024</v>
      </c>
      <c r="Q99" s="10">
        <f t="shared" ca="1" si="2"/>
        <v>1636</v>
      </c>
      <c r="R99" s="11" t="str">
        <f t="shared" si="3"/>
        <v>Low Value</v>
      </c>
    </row>
    <row r="100" spans="1:18" x14ac:dyDescent="0.35">
      <c r="A100" s="7" t="s">
        <v>238</v>
      </c>
      <c r="B100" s="8">
        <v>45491</v>
      </c>
      <c r="C100" s="9" t="s">
        <v>204</v>
      </c>
      <c r="D100" s="9" t="s">
        <v>205</v>
      </c>
      <c r="E100" s="9" t="s">
        <v>85</v>
      </c>
      <c r="F100" s="9" t="s">
        <v>86</v>
      </c>
      <c r="G100" s="9" t="s">
        <v>23</v>
      </c>
      <c r="H100" s="9">
        <v>1</v>
      </c>
      <c r="I100" s="9">
        <v>699.99</v>
      </c>
      <c r="J100" s="9" t="s">
        <v>24</v>
      </c>
      <c r="K100" s="9" t="s">
        <v>25</v>
      </c>
      <c r="L100" s="9" t="s">
        <v>32</v>
      </c>
      <c r="M100" s="8">
        <v>44523</v>
      </c>
      <c r="N100" s="9">
        <v>699.99</v>
      </c>
      <c r="O100" s="20" t="str">
        <f>TEXT(CustomerData[[#This Row],[Date]],"mmm")</f>
        <v>Jul</v>
      </c>
      <c r="P100" s="9">
        <f>YEAR(CustomerData[[#This Row],[Date]])</f>
        <v>2024</v>
      </c>
      <c r="Q100" s="10">
        <f t="shared" ca="1" si="2"/>
        <v>1635</v>
      </c>
      <c r="R100" s="11" t="str">
        <f t="shared" si="3"/>
        <v>Medium Value</v>
      </c>
    </row>
    <row r="101" spans="1:18" x14ac:dyDescent="0.35">
      <c r="A101" s="7" t="s">
        <v>239</v>
      </c>
      <c r="B101" s="8">
        <v>45492</v>
      </c>
      <c r="C101" s="9" t="s">
        <v>240</v>
      </c>
      <c r="D101" s="9" t="s">
        <v>241</v>
      </c>
      <c r="E101" s="9" t="s">
        <v>57</v>
      </c>
      <c r="F101" s="9" t="s">
        <v>58</v>
      </c>
      <c r="G101" s="9" t="s">
        <v>23</v>
      </c>
      <c r="H101" s="9">
        <v>3</v>
      </c>
      <c r="I101" s="9">
        <v>149.99</v>
      </c>
      <c r="J101" s="9" t="s">
        <v>24</v>
      </c>
      <c r="K101" s="9" t="s">
        <v>55</v>
      </c>
      <c r="L101" s="9" t="s">
        <v>32</v>
      </c>
      <c r="M101" s="8">
        <v>44524</v>
      </c>
      <c r="N101" s="9">
        <v>449.97</v>
      </c>
      <c r="O101" s="20" t="str">
        <f>TEXT(CustomerData[[#This Row],[Date]],"mmm")</f>
        <v>Jul</v>
      </c>
      <c r="P101" s="9">
        <f>YEAR(CustomerData[[#This Row],[Date]])</f>
        <v>2024</v>
      </c>
      <c r="Q101" s="10">
        <f t="shared" ca="1" si="2"/>
        <v>1634</v>
      </c>
      <c r="R101" s="11" t="str">
        <f t="shared" si="3"/>
        <v>Low Value</v>
      </c>
    </row>
    <row r="102" spans="1:18" x14ac:dyDescent="0.35">
      <c r="A102" s="7" t="s">
        <v>242</v>
      </c>
      <c r="B102" s="8">
        <v>45493</v>
      </c>
      <c r="C102" s="9" t="s">
        <v>243</v>
      </c>
      <c r="D102" s="9" t="s">
        <v>244</v>
      </c>
      <c r="E102" s="9" t="s">
        <v>85</v>
      </c>
      <c r="F102" s="9" t="s">
        <v>86</v>
      </c>
      <c r="G102" s="9" t="s">
        <v>23</v>
      </c>
      <c r="H102" s="9">
        <v>2</v>
      </c>
      <c r="I102" s="9">
        <v>699.99</v>
      </c>
      <c r="J102" s="9" t="s">
        <v>31</v>
      </c>
      <c r="K102" s="9" t="s">
        <v>45</v>
      </c>
      <c r="L102" s="9" t="s">
        <v>32</v>
      </c>
      <c r="M102" s="8">
        <v>44525</v>
      </c>
      <c r="N102" s="9">
        <v>1399.98</v>
      </c>
      <c r="O102" s="20" t="str">
        <f>TEXT(CustomerData[[#This Row],[Date]],"mmm")</f>
        <v>Jul</v>
      </c>
      <c r="P102" s="9">
        <f>YEAR(CustomerData[[#This Row],[Date]])</f>
        <v>2024</v>
      </c>
      <c r="Q102" s="10">
        <f t="shared" ca="1" si="2"/>
        <v>1633</v>
      </c>
      <c r="R102" s="11" t="str">
        <f t="shared" si="3"/>
        <v>High Value</v>
      </c>
    </row>
    <row r="103" spans="1:18" x14ac:dyDescent="0.35">
      <c r="A103" s="7" t="s">
        <v>245</v>
      </c>
      <c r="B103" s="8">
        <v>45494</v>
      </c>
      <c r="C103" s="9" t="s">
        <v>240</v>
      </c>
      <c r="D103" s="9" t="s">
        <v>241</v>
      </c>
      <c r="E103" s="9" t="s">
        <v>21</v>
      </c>
      <c r="F103" s="9" t="s">
        <v>22</v>
      </c>
      <c r="G103" s="9" t="s">
        <v>23</v>
      </c>
      <c r="H103" s="9">
        <v>1</v>
      </c>
      <c r="I103" s="9">
        <v>249.99</v>
      </c>
      <c r="J103" s="9" t="s">
        <v>31</v>
      </c>
      <c r="K103" s="9" t="s">
        <v>55</v>
      </c>
      <c r="L103" s="9" t="s">
        <v>32</v>
      </c>
      <c r="M103" s="8">
        <v>44526</v>
      </c>
      <c r="N103" s="9">
        <v>249.99</v>
      </c>
      <c r="O103" s="20" t="str">
        <f>TEXT(CustomerData[[#This Row],[Date]],"mmm")</f>
        <v>Jul</v>
      </c>
      <c r="P103" s="9">
        <f>YEAR(CustomerData[[#This Row],[Date]])</f>
        <v>2024</v>
      </c>
      <c r="Q103" s="10">
        <f t="shared" ca="1" si="2"/>
        <v>1632</v>
      </c>
      <c r="R103" s="11" t="str">
        <f t="shared" si="3"/>
        <v>Low Value</v>
      </c>
    </row>
    <row r="104" spans="1:18" x14ac:dyDescent="0.35">
      <c r="A104" s="7" t="s">
        <v>247</v>
      </c>
      <c r="B104" s="8">
        <v>45495</v>
      </c>
      <c r="C104" s="9" t="s">
        <v>19</v>
      </c>
      <c r="D104" s="9" t="s">
        <v>20</v>
      </c>
      <c r="E104" s="9" t="s">
        <v>21</v>
      </c>
      <c r="F104" s="9" t="s">
        <v>22</v>
      </c>
      <c r="G104" s="9" t="s">
        <v>23</v>
      </c>
      <c r="H104" s="9">
        <v>1</v>
      </c>
      <c r="I104" s="9">
        <v>249.99</v>
      </c>
      <c r="J104" s="9" t="s">
        <v>62</v>
      </c>
      <c r="K104" s="9" t="s">
        <v>45</v>
      </c>
      <c r="L104" s="9" t="s">
        <v>32</v>
      </c>
      <c r="M104" s="8">
        <v>44527</v>
      </c>
      <c r="N104" s="9">
        <v>249.99</v>
      </c>
      <c r="O104" s="20" t="str">
        <f>TEXT(CustomerData[[#This Row],[Date]],"mmm")</f>
        <v>Jul</v>
      </c>
      <c r="P104" s="9">
        <f>YEAR(CustomerData[[#This Row],[Date]])</f>
        <v>2024</v>
      </c>
      <c r="Q104" s="10">
        <f t="shared" ca="1" si="2"/>
        <v>1631</v>
      </c>
      <c r="R104" s="11" t="str">
        <f t="shared" si="3"/>
        <v>Low Value</v>
      </c>
    </row>
    <row r="105" spans="1:18" x14ac:dyDescent="0.35">
      <c r="A105" s="7" t="s">
        <v>248</v>
      </c>
      <c r="B105" s="8">
        <v>45496</v>
      </c>
      <c r="C105" s="9" t="s">
        <v>235</v>
      </c>
      <c r="D105" s="9" t="s">
        <v>236</v>
      </c>
      <c r="E105" s="9" t="s">
        <v>85</v>
      </c>
      <c r="F105" s="9" t="s">
        <v>86</v>
      </c>
      <c r="G105" s="9" t="s">
        <v>23</v>
      </c>
      <c r="H105" s="9">
        <v>2</v>
      </c>
      <c r="I105" s="9">
        <v>699.99</v>
      </c>
      <c r="J105" s="9" t="s">
        <v>62</v>
      </c>
      <c r="K105" s="9" t="s">
        <v>25</v>
      </c>
      <c r="L105" s="9" t="s">
        <v>32</v>
      </c>
      <c r="M105" s="8">
        <v>44528</v>
      </c>
      <c r="N105" s="9">
        <v>1399.98</v>
      </c>
      <c r="O105" s="20" t="str">
        <f>TEXT(CustomerData[[#This Row],[Date]],"mmm")</f>
        <v>Jul</v>
      </c>
      <c r="P105" s="9">
        <f>YEAR(CustomerData[[#This Row],[Date]])</f>
        <v>2024</v>
      </c>
      <c r="Q105" s="10">
        <f t="shared" ca="1" si="2"/>
        <v>1630</v>
      </c>
      <c r="R105" s="11" t="str">
        <f t="shared" si="3"/>
        <v>High Value</v>
      </c>
    </row>
    <row r="106" spans="1:18" x14ac:dyDescent="0.35">
      <c r="A106" s="7" t="s">
        <v>249</v>
      </c>
      <c r="B106" s="8">
        <v>45497</v>
      </c>
      <c r="C106" s="9" t="s">
        <v>144</v>
      </c>
      <c r="D106" s="9" t="s">
        <v>145</v>
      </c>
      <c r="E106" s="9" t="s">
        <v>36</v>
      </c>
      <c r="F106" s="9" t="s">
        <v>37</v>
      </c>
      <c r="G106" s="9" t="s">
        <v>38</v>
      </c>
      <c r="H106" s="9">
        <v>3</v>
      </c>
      <c r="I106" s="9">
        <v>59.99</v>
      </c>
      <c r="J106" s="9" t="s">
        <v>31</v>
      </c>
      <c r="K106" s="9" t="s">
        <v>25</v>
      </c>
      <c r="L106" s="9" t="s">
        <v>32</v>
      </c>
      <c r="M106" s="8">
        <v>44529</v>
      </c>
      <c r="N106" s="9">
        <v>179.97</v>
      </c>
      <c r="O106" s="20" t="str">
        <f>TEXT(CustomerData[[#This Row],[Date]],"mmm")</f>
        <v>Jul</v>
      </c>
      <c r="P106" s="9">
        <f>YEAR(CustomerData[[#This Row],[Date]])</f>
        <v>2024</v>
      </c>
      <c r="Q106" s="10">
        <f t="shared" ca="1" si="2"/>
        <v>1629</v>
      </c>
      <c r="R106" s="11" t="str">
        <f t="shared" si="3"/>
        <v>Low Value</v>
      </c>
    </row>
    <row r="107" spans="1:18" x14ac:dyDescent="0.35">
      <c r="A107" s="7" t="s">
        <v>250</v>
      </c>
      <c r="B107" s="8">
        <v>45498</v>
      </c>
      <c r="C107" s="9" t="s">
        <v>138</v>
      </c>
      <c r="D107" s="9" t="s">
        <v>139</v>
      </c>
      <c r="E107" s="9" t="s">
        <v>36</v>
      </c>
      <c r="F107" s="9" t="s">
        <v>37</v>
      </c>
      <c r="G107" s="9" t="s">
        <v>38</v>
      </c>
      <c r="H107" s="9">
        <v>3</v>
      </c>
      <c r="I107" s="9">
        <v>59.99</v>
      </c>
      <c r="J107" s="9" t="s">
        <v>39</v>
      </c>
      <c r="K107" s="9" t="s">
        <v>68</v>
      </c>
      <c r="L107" s="9" t="s">
        <v>41</v>
      </c>
      <c r="M107" s="8">
        <v>44530</v>
      </c>
      <c r="N107" s="9">
        <v>179.97</v>
      </c>
      <c r="O107" s="20" t="str">
        <f>TEXT(CustomerData[[#This Row],[Date]],"mmm")</f>
        <v>Jul</v>
      </c>
      <c r="P107" s="9">
        <f>YEAR(CustomerData[[#This Row],[Date]])</f>
        <v>2024</v>
      </c>
      <c r="Q107" s="10">
        <f t="shared" ca="1" si="2"/>
        <v>1628</v>
      </c>
      <c r="R107" s="11" t="str">
        <f t="shared" si="3"/>
        <v>Low Value</v>
      </c>
    </row>
    <row r="108" spans="1:18" x14ac:dyDescent="0.35">
      <c r="A108" s="7" t="s">
        <v>251</v>
      </c>
      <c r="B108" s="8">
        <v>45499</v>
      </c>
      <c r="C108" s="9" t="s">
        <v>147</v>
      </c>
      <c r="D108" s="9" t="s">
        <v>148</v>
      </c>
      <c r="E108" s="9" t="s">
        <v>120</v>
      </c>
      <c r="F108" s="9" t="s">
        <v>121</v>
      </c>
      <c r="G108" s="9" t="s">
        <v>38</v>
      </c>
      <c r="H108" s="9">
        <v>4</v>
      </c>
      <c r="I108" s="9">
        <v>79.989999999999995</v>
      </c>
      <c r="J108" s="9" t="s">
        <v>24</v>
      </c>
      <c r="K108" s="9" t="s">
        <v>45</v>
      </c>
      <c r="L108" s="9" t="s">
        <v>26</v>
      </c>
      <c r="M108" s="8">
        <v>44531</v>
      </c>
      <c r="N108" s="9">
        <v>319.95999999999998</v>
      </c>
      <c r="O108" s="20" t="str">
        <f>TEXT(CustomerData[[#This Row],[Date]],"mmm")</f>
        <v>Jul</v>
      </c>
      <c r="P108" s="9">
        <f>YEAR(CustomerData[[#This Row],[Date]])</f>
        <v>2024</v>
      </c>
      <c r="Q108" s="10">
        <f t="shared" ca="1" si="2"/>
        <v>1627</v>
      </c>
      <c r="R108" s="11" t="str">
        <f t="shared" si="3"/>
        <v>Low Value</v>
      </c>
    </row>
    <row r="109" spans="1:18" x14ac:dyDescent="0.35">
      <c r="A109" s="7" t="s">
        <v>252</v>
      </c>
      <c r="B109" s="8">
        <v>45500</v>
      </c>
      <c r="C109" s="9" t="s">
        <v>60</v>
      </c>
      <c r="D109" s="9" t="s">
        <v>61</v>
      </c>
      <c r="E109" s="9" t="s">
        <v>120</v>
      </c>
      <c r="F109" s="9" t="s">
        <v>121</v>
      </c>
      <c r="G109" s="9" t="s">
        <v>38</v>
      </c>
      <c r="H109" s="9">
        <v>1</v>
      </c>
      <c r="I109" s="9">
        <v>79.989999999999995</v>
      </c>
      <c r="J109" s="9" t="s">
        <v>24</v>
      </c>
      <c r="K109" s="9" t="s">
        <v>55</v>
      </c>
      <c r="L109" s="9" t="s">
        <v>26</v>
      </c>
      <c r="M109" s="8">
        <v>44532</v>
      </c>
      <c r="N109" s="9">
        <v>79.989999999999995</v>
      </c>
      <c r="O109" s="20" t="str">
        <f>TEXT(CustomerData[[#This Row],[Date]],"mmm")</f>
        <v>Jul</v>
      </c>
      <c r="P109" s="9">
        <f>YEAR(CustomerData[[#This Row],[Date]])</f>
        <v>2024</v>
      </c>
      <c r="Q109" s="10">
        <f t="shared" ca="1" si="2"/>
        <v>1626</v>
      </c>
      <c r="R109" s="11" t="str">
        <f t="shared" si="3"/>
        <v>Low Value</v>
      </c>
    </row>
    <row r="110" spans="1:18" x14ac:dyDescent="0.35">
      <c r="A110" s="7" t="s">
        <v>253</v>
      </c>
      <c r="B110" s="8">
        <v>45501</v>
      </c>
      <c r="C110" s="9" t="s">
        <v>53</v>
      </c>
      <c r="D110" s="9" t="s">
        <v>54</v>
      </c>
      <c r="E110" s="9" t="s">
        <v>111</v>
      </c>
      <c r="F110" s="9" t="s">
        <v>112</v>
      </c>
      <c r="G110" s="9" t="s">
        <v>51</v>
      </c>
      <c r="H110" s="9">
        <v>3</v>
      </c>
      <c r="I110" s="9">
        <v>299.99</v>
      </c>
      <c r="J110" s="9" t="s">
        <v>31</v>
      </c>
      <c r="K110" s="9" t="s">
        <v>25</v>
      </c>
      <c r="L110" s="9" t="s">
        <v>32</v>
      </c>
      <c r="M110" s="8">
        <v>44533</v>
      </c>
      <c r="N110" s="9">
        <v>899.97</v>
      </c>
      <c r="O110" s="20" t="str">
        <f>TEXT(CustomerData[[#This Row],[Date]],"mmm")</f>
        <v>Jul</v>
      </c>
      <c r="P110" s="9">
        <f>YEAR(CustomerData[[#This Row],[Date]])</f>
        <v>2024</v>
      </c>
      <c r="Q110" s="10">
        <f t="shared" ca="1" si="2"/>
        <v>1625</v>
      </c>
      <c r="R110" s="11" t="str">
        <f t="shared" si="3"/>
        <v>Medium Value</v>
      </c>
    </row>
    <row r="111" spans="1:18" x14ac:dyDescent="0.35">
      <c r="A111" s="7" t="s">
        <v>254</v>
      </c>
      <c r="B111" s="8">
        <v>45502</v>
      </c>
      <c r="C111" s="9" t="s">
        <v>43</v>
      </c>
      <c r="D111" s="9" t="s">
        <v>44</v>
      </c>
      <c r="E111" s="9" t="s">
        <v>123</v>
      </c>
      <c r="F111" s="9" t="s">
        <v>124</v>
      </c>
      <c r="G111" s="9" t="s">
        <v>23</v>
      </c>
      <c r="H111" s="9">
        <v>2</v>
      </c>
      <c r="I111" s="9">
        <v>89.99</v>
      </c>
      <c r="J111" s="9" t="s">
        <v>31</v>
      </c>
      <c r="K111" s="9" t="s">
        <v>40</v>
      </c>
      <c r="L111" s="9" t="s">
        <v>32</v>
      </c>
      <c r="M111" s="8">
        <v>44534</v>
      </c>
      <c r="N111" s="9">
        <v>179.98</v>
      </c>
      <c r="O111" s="20" t="str">
        <f>TEXT(CustomerData[[#This Row],[Date]],"mmm")</f>
        <v>Jul</v>
      </c>
      <c r="P111" s="9">
        <f>YEAR(CustomerData[[#This Row],[Date]])</f>
        <v>2024</v>
      </c>
      <c r="Q111" s="10">
        <f t="shared" ca="1" si="2"/>
        <v>1624</v>
      </c>
      <c r="R111" s="11" t="str">
        <f t="shared" si="3"/>
        <v>Low Value</v>
      </c>
    </row>
    <row r="112" spans="1:18" x14ac:dyDescent="0.35">
      <c r="A112" s="7" t="s">
        <v>255</v>
      </c>
      <c r="B112" s="8">
        <v>45503</v>
      </c>
      <c r="C112" s="9" t="s">
        <v>256</v>
      </c>
      <c r="D112" s="9" t="s">
        <v>257</v>
      </c>
      <c r="E112" s="9" t="s">
        <v>57</v>
      </c>
      <c r="F112" s="9" t="s">
        <v>58</v>
      </c>
      <c r="G112" s="9" t="s">
        <v>23</v>
      </c>
      <c r="H112" s="9">
        <v>4</v>
      </c>
      <c r="I112" s="9">
        <v>149.99</v>
      </c>
      <c r="J112" s="9" t="s">
        <v>24</v>
      </c>
      <c r="K112" s="9" t="s">
        <v>45</v>
      </c>
      <c r="L112" s="9" t="s">
        <v>26</v>
      </c>
      <c r="M112" s="8">
        <v>44535</v>
      </c>
      <c r="N112" s="9">
        <v>599.96</v>
      </c>
      <c r="O112" s="20" t="str">
        <f>TEXT(CustomerData[[#This Row],[Date]],"mmm")</f>
        <v>Jul</v>
      </c>
      <c r="P112" s="9">
        <f>YEAR(CustomerData[[#This Row],[Date]])</f>
        <v>2024</v>
      </c>
      <c r="Q112" s="10">
        <f t="shared" ca="1" si="2"/>
        <v>1623</v>
      </c>
      <c r="R112" s="11" t="str">
        <f t="shared" si="3"/>
        <v>Medium Value</v>
      </c>
    </row>
    <row r="113" spans="1:18" x14ac:dyDescent="0.35">
      <c r="A113" s="7" t="s">
        <v>258</v>
      </c>
      <c r="B113" s="8">
        <v>45504</v>
      </c>
      <c r="C113" s="9" t="s">
        <v>70</v>
      </c>
      <c r="D113" s="9" t="s">
        <v>71</v>
      </c>
      <c r="E113" s="9" t="s">
        <v>21</v>
      </c>
      <c r="F113" s="9" t="s">
        <v>22</v>
      </c>
      <c r="G113" s="9" t="s">
        <v>23</v>
      </c>
      <c r="H113" s="9">
        <v>2</v>
      </c>
      <c r="I113" s="9">
        <v>249.99</v>
      </c>
      <c r="J113" s="9" t="s">
        <v>39</v>
      </c>
      <c r="K113" s="9" t="s">
        <v>40</v>
      </c>
      <c r="L113" s="9" t="s">
        <v>26</v>
      </c>
      <c r="M113" s="8">
        <v>44536</v>
      </c>
      <c r="N113" s="9">
        <v>499.98</v>
      </c>
      <c r="O113" s="20" t="str">
        <f>TEXT(CustomerData[[#This Row],[Date]],"mmm")</f>
        <v>Jul</v>
      </c>
      <c r="P113" s="9">
        <f>YEAR(CustomerData[[#This Row],[Date]])</f>
        <v>2024</v>
      </c>
      <c r="Q113" s="10">
        <f t="shared" ca="1" si="2"/>
        <v>1622</v>
      </c>
      <c r="R113" s="11" t="str">
        <f t="shared" si="3"/>
        <v>Low Value</v>
      </c>
    </row>
    <row r="114" spans="1:18" x14ac:dyDescent="0.35">
      <c r="A114" s="7" t="s">
        <v>259</v>
      </c>
      <c r="B114" s="8">
        <v>45505</v>
      </c>
      <c r="C114" s="9" t="s">
        <v>161</v>
      </c>
      <c r="D114" s="9" t="s">
        <v>162</v>
      </c>
      <c r="E114" s="9" t="s">
        <v>132</v>
      </c>
      <c r="F114" s="9" t="s">
        <v>133</v>
      </c>
      <c r="G114" s="9" t="s">
        <v>51</v>
      </c>
      <c r="H114" s="9">
        <v>4</v>
      </c>
      <c r="I114" s="9">
        <v>199.99</v>
      </c>
      <c r="J114" s="9" t="s">
        <v>62</v>
      </c>
      <c r="K114" s="9" t="s">
        <v>68</v>
      </c>
      <c r="L114" s="9" t="s">
        <v>26</v>
      </c>
      <c r="M114" s="8">
        <v>44537</v>
      </c>
      <c r="N114" s="9">
        <v>799.96</v>
      </c>
      <c r="O114" s="20" t="str">
        <f>TEXT(CustomerData[[#This Row],[Date]],"mmm")</f>
        <v>Aug</v>
      </c>
      <c r="P114" s="9">
        <f>YEAR(CustomerData[[#This Row],[Date]])</f>
        <v>2024</v>
      </c>
      <c r="Q114" s="10">
        <f t="shared" ca="1" si="2"/>
        <v>1621</v>
      </c>
      <c r="R114" s="11" t="str">
        <f t="shared" si="3"/>
        <v>Medium Value</v>
      </c>
    </row>
    <row r="115" spans="1:18" x14ac:dyDescent="0.35">
      <c r="A115" s="7" t="s">
        <v>260</v>
      </c>
      <c r="B115" s="8">
        <v>45506</v>
      </c>
      <c r="C115" s="9" t="s">
        <v>153</v>
      </c>
      <c r="D115" s="9" t="s">
        <v>154</v>
      </c>
      <c r="E115" s="9" t="s">
        <v>123</v>
      </c>
      <c r="F115" s="9" t="s">
        <v>124</v>
      </c>
      <c r="G115" s="9" t="s">
        <v>23</v>
      </c>
      <c r="H115" s="9">
        <v>5</v>
      </c>
      <c r="I115" s="9">
        <v>89.99</v>
      </c>
      <c r="J115" s="9" t="s">
        <v>31</v>
      </c>
      <c r="K115" s="9" t="s">
        <v>68</v>
      </c>
      <c r="L115" s="9" t="s">
        <v>32</v>
      </c>
      <c r="M115" s="8">
        <v>44538</v>
      </c>
      <c r="N115" s="9">
        <v>449.95</v>
      </c>
      <c r="O115" s="20" t="str">
        <f>TEXT(CustomerData[[#This Row],[Date]],"mmm")</f>
        <v>Aug</v>
      </c>
      <c r="P115" s="9">
        <f>YEAR(CustomerData[[#This Row],[Date]])</f>
        <v>2024</v>
      </c>
      <c r="Q115" s="10">
        <f t="shared" ca="1" si="2"/>
        <v>1620</v>
      </c>
      <c r="R115" s="11" t="str">
        <f t="shared" si="3"/>
        <v>Low Value</v>
      </c>
    </row>
    <row r="116" spans="1:18" x14ac:dyDescent="0.35">
      <c r="A116" s="7" t="s">
        <v>261</v>
      </c>
      <c r="B116" s="8">
        <v>45507</v>
      </c>
      <c r="C116" s="9" t="s">
        <v>262</v>
      </c>
      <c r="D116" s="9" t="s">
        <v>263</v>
      </c>
      <c r="E116" s="9" t="s">
        <v>57</v>
      </c>
      <c r="F116" s="9" t="s">
        <v>58</v>
      </c>
      <c r="G116" s="9" t="s">
        <v>23</v>
      </c>
      <c r="H116" s="9">
        <v>1</v>
      </c>
      <c r="I116" s="9">
        <v>149.99</v>
      </c>
      <c r="J116" s="9" t="s">
        <v>39</v>
      </c>
      <c r="K116" s="9" t="s">
        <v>68</v>
      </c>
      <c r="L116" s="9" t="s">
        <v>41</v>
      </c>
      <c r="M116" s="8">
        <v>44539</v>
      </c>
      <c r="N116" s="9">
        <v>149.99</v>
      </c>
      <c r="O116" s="20" t="str">
        <f>TEXT(CustomerData[[#This Row],[Date]],"mmm")</f>
        <v>Aug</v>
      </c>
      <c r="P116" s="9">
        <f>YEAR(CustomerData[[#This Row],[Date]])</f>
        <v>2024</v>
      </c>
      <c r="Q116" s="10">
        <f t="shared" ca="1" si="2"/>
        <v>1619</v>
      </c>
      <c r="R116" s="11" t="str">
        <f t="shared" si="3"/>
        <v>Low Value</v>
      </c>
    </row>
    <row r="117" spans="1:18" x14ac:dyDescent="0.35">
      <c r="A117" s="7" t="s">
        <v>264</v>
      </c>
      <c r="B117" s="8">
        <v>45508</v>
      </c>
      <c r="C117" s="9" t="s">
        <v>77</v>
      </c>
      <c r="D117" s="9" t="s">
        <v>78</v>
      </c>
      <c r="E117" s="9" t="s">
        <v>85</v>
      </c>
      <c r="F117" s="9" t="s">
        <v>86</v>
      </c>
      <c r="G117" s="9" t="s">
        <v>23</v>
      </c>
      <c r="H117" s="9">
        <v>4</v>
      </c>
      <c r="I117" s="9">
        <v>699.99</v>
      </c>
      <c r="J117" s="9" t="s">
        <v>39</v>
      </c>
      <c r="K117" s="9" t="s">
        <v>40</v>
      </c>
      <c r="L117" s="9" t="s">
        <v>26</v>
      </c>
      <c r="M117" s="8">
        <v>44540</v>
      </c>
      <c r="N117" s="9">
        <v>2799.96</v>
      </c>
      <c r="O117" s="20" t="str">
        <f>TEXT(CustomerData[[#This Row],[Date]],"mmm")</f>
        <v>Aug</v>
      </c>
      <c r="P117" s="9">
        <f>YEAR(CustomerData[[#This Row],[Date]])</f>
        <v>2024</v>
      </c>
      <c r="Q117" s="10">
        <f t="shared" ca="1" si="2"/>
        <v>1618</v>
      </c>
      <c r="R117" s="11" t="str">
        <f t="shared" si="3"/>
        <v>VIP Customer</v>
      </c>
    </row>
    <row r="118" spans="1:18" x14ac:dyDescent="0.35">
      <c r="A118" s="7" t="s">
        <v>265</v>
      </c>
      <c r="B118" s="8">
        <v>45509</v>
      </c>
      <c r="C118" s="9" t="s">
        <v>243</v>
      </c>
      <c r="D118" s="9" t="s">
        <v>244</v>
      </c>
      <c r="E118" s="9" t="s">
        <v>66</v>
      </c>
      <c r="F118" s="9" t="s">
        <v>67</v>
      </c>
      <c r="G118" s="9" t="s">
        <v>23</v>
      </c>
      <c r="H118" s="9">
        <v>3</v>
      </c>
      <c r="I118" s="9">
        <v>899.99</v>
      </c>
      <c r="J118" s="9" t="s">
        <v>31</v>
      </c>
      <c r="K118" s="9" t="s">
        <v>45</v>
      </c>
      <c r="L118" s="9" t="s">
        <v>41</v>
      </c>
      <c r="M118" s="8">
        <v>44541</v>
      </c>
      <c r="N118" s="9">
        <v>2699.97</v>
      </c>
      <c r="O118" s="20" t="str">
        <f>TEXT(CustomerData[[#This Row],[Date]],"mmm")</f>
        <v>Aug</v>
      </c>
      <c r="P118" s="9">
        <f>YEAR(CustomerData[[#This Row],[Date]])</f>
        <v>2024</v>
      </c>
      <c r="Q118" s="10">
        <f t="shared" ca="1" si="2"/>
        <v>1617</v>
      </c>
      <c r="R118" s="11" t="str">
        <f t="shared" si="3"/>
        <v>VIP Customer</v>
      </c>
    </row>
    <row r="119" spans="1:18" x14ac:dyDescent="0.35">
      <c r="A119" s="7" t="s">
        <v>266</v>
      </c>
      <c r="B119" s="8">
        <v>45510</v>
      </c>
      <c r="C119" s="9" t="s">
        <v>118</v>
      </c>
      <c r="D119" s="9" t="s">
        <v>119</v>
      </c>
      <c r="E119" s="9" t="s">
        <v>49</v>
      </c>
      <c r="F119" s="9" t="s">
        <v>50</v>
      </c>
      <c r="G119" s="9" t="s">
        <v>51</v>
      </c>
      <c r="H119" s="9">
        <v>3</v>
      </c>
      <c r="I119" s="9">
        <v>149.99</v>
      </c>
      <c r="J119" s="9" t="s">
        <v>39</v>
      </c>
      <c r="K119" s="9" t="s">
        <v>68</v>
      </c>
      <c r="L119" s="9" t="s">
        <v>26</v>
      </c>
      <c r="M119" s="8">
        <v>44542</v>
      </c>
      <c r="N119" s="9">
        <v>449.97</v>
      </c>
      <c r="O119" s="20" t="str">
        <f>TEXT(CustomerData[[#This Row],[Date]],"mmm")</f>
        <v>Aug</v>
      </c>
      <c r="P119" s="9">
        <f>YEAR(CustomerData[[#This Row],[Date]])</f>
        <v>2024</v>
      </c>
      <c r="Q119" s="10">
        <f t="shared" ca="1" si="2"/>
        <v>1616</v>
      </c>
      <c r="R119" s="11" t="str">
        <f t="shared" si="3"/>
        <v>Low Value</v>
      </c>
    </row>
    <row r="120" spans="1:18" x14ac:dyDescent="0.35">
      <c r="A120" s="7" t="s">
        <v>267</v>
      </c>
      <c r="B120" s="8">
        <v>45511</v>
      </c>
      <c r="C120" s="9" t="s">
        <v>104</v>
      </c>
      <c r="D120" s="9" t="s">
        <v>105</v>
      </c>
      <c r="E120" s="9" t="s">
        <v>111</v>
      </c>
      <c r="F120" s="9" t="s">
        <v>112</v>
      </c>
      <c r="G120" s="9" t="s">
        <v>51</v>
      </c>
      <c r="H120" s="9">
        <v>2</v>
      </c>
      <c r="I120" s="9">
        <v>299.99</v>
      </c>
      <c r="J120" s="9" t="s">
        <v>62</v>
      </c>
      <c r="K120" s="9" t="s">
        <v>25</v>
      </c>
      <c r="L120" s="9" t="s">
        <v>26</v>
      </c>
      <c r="M120" s="8">
        <v>44543</v>
      </c>
      <c r="N120" s="9">
        <v>599.98</v>
      </c>
      <c r="O120" s="20" t="str">
        <f>TEXT(CustomerData[[#This Row],[Date]],"mmm")</f>
        <v>Aug</v>
      </c>
      <c r="P120" s="9">
        <f>YEAR(CustomerData[[#This Row],[Date]])</f>
        <v>2024</v>
      </c>
      <c r="Q120" s="10">
        <f t="shared" ca="1" si="2"/>
        <v>1615</v>
      </c>
      <c r="R120" s="11" t="str">
        <f t="shared" si="3"/>
        <v>Medium Value</v>
      </c>
    </row>
    <row r="121" spans="1:18" x14ac:dyDescent="0.35">
      <c r="A121" s="7" t="s">
        <v>268</v>
      </c>
      <c r="B121" s="8">
        <v>45512</v>
      </c>
      <c r="C121" s="9" t="s">
        <v>269</v>
      </c>
      <c r="D121" s="9" t="s">
        <v>270</v>
      </c>
      <c r="E121" s="9" t="s">
        <v>132</v>
      </c>
      <c r="F121" s="9" t="s">
        <v>133</v>
      </c>
      <c r="G121" s="9" t="s">
        <v>51</v>
      </c>
      <c r="H121" s="9">
        <v>1</v>
      </c>
      <c r="I121" s="9">
        <v>199.99</v>
      </c>
      <c r="J121" s="9" t="s">
        <v>62</v>
      </c>
      <c r="K121" s="9" t="s">
        <v>68</v>
      </c>
      <c r="L121" s="9" t="s">
        <v>41</v>
      </c>
      <c r="M121" s="8">
        <v>44544</v>
      </c>
      <c r="N121" s="9">
        <v>199.99</v>
      </c>
      <c r="O121" s="20" t="str">
        <f>TEXT(CustomerData[[#This Row],[Date]],"mmm")</f>
        <v>Aug</v>
      </c>
      <c r="P121" s="9">
        <f>YEAR(CustomerData[[#This Row],[Date]])</f>
        <v>2024</v>
      </c>
      <c r="Q121" s="10">
        <f t="shared" ca="1" si="2"/>
        <v>1614</v>
      </c>
      <c r="R121" s="11" t="str">
        <f t="shared" si="3"/>
        <v>Low Value</v>
      </c>
    </row>
    <row r="122" spans="1:18" x14ac:dyDescent="0.35">
      <c r="A122" s="7" t="s">
        <v>271</v>
      </c>
      <c r="B122" s="8">
        <v>45513</v>
      </c>
      <c r="C122" s="9" t="s">
        <v>47</v>
      </c>
      <c r="D122" s="9" t="s">
        <v>48</v>
      </c>
      <c r="E122" s="9" t="s">
        <v>111</v>
      </c>
      <c r="F122" s="9" t="s">
        <v>112</v>
      </c>
      <c r="G122" s="9" t="s">
        <v>51</v>
      </c>
      <c r="H122" s="9">
        <v>4</v>
      </c>
      <c r="I122" s="9">
        <v>299.99</v>
      </c>
      <c r="J122" s="9" t="s">
        <v>24</v>
      </c>
      <c r="K122" s="9" t="s">
        <v>25</v>
      </c>
      <c r="L122" s="9" t="s">
        <v>32</v>
      </c>
      <c r="M122" s="8">
        <v>44545</v>
      </c>
      <c r="N122" s="9">
        <v>1199.96</v>
      </c>
      <c r="O122" s="20" t="str">
        <f>TEXT(CustomerData[[#This Row],[Date]],"mmm")</f>
        <v>Aug</v>
      </c>
      <c r="P122" s="9">
        <f>YEAR(CustomerData[[#This Row],[Date]])</f>
        <v>2024</v>
      </c>
      <c r="Q122" s="10">
        <f t="shared" ca="1" si="2"/>
        <v>1613</v>
      </c>
      <c r="R122" s="11" t="str">
        <f t="shared" si="3"/>
        <v>High Value</v>
      </c>
    </row>
    <row r="123" spans="1:18" x14ac:dyDescent="0.35">
      <c r="A123" s="7" t="s">
        <v>273</v>
      </c>
      <c r="B123" s="8">
        <v>45514</v>
      </c>
      <c r="C123" s="9" t="s">
        <v>94</v>
      </c>
      <c r="D123" s="9" t="s">
        <v>95</v>
      </c>
      <c r="E123" s="9" t="s">
        <v>36</v>
      </c>
      <c r="F123" s="9" t="s">
        <v>37</v>
      </c>
      <c r="G123" s="9" t="s">
        <v>38</v>
      </c>
      <c r="H123" s="9">
        <v>2</v>
      </c>
      <c r="I123" s="9">
        <v>59.99</v>
      </c>
      <c r="J123" s="9" t="s">
        <v>31</v>
      </c>
      <c r="K123" s="9" t="s">
        <v>25</v>
      </c>
      <c r="L123" s="9" t="s">
        <v>26</v>
      </c>
      <c r="M123" s="8">
        <v>44546</v>
      </c>
      <c r="N123" s="9">
        <v>119.98</v>
      </c>
      <c r="O123" s="20" t="str">
        <f>TEXT(CustomerData[[#This Row],[Date]],"mmm")</f>
        <v>Aug</v>
      </c>
      <c r="P123" s="9">
        <f>YEAR(CustomerData[[#This Row],[Date]])</f>
        <v>2024</v>
      </c>
      <c r="Q123" s="10">
        <f t="shared" ca="1" si="2"/>
        <v>1612</v>
      </c>
      <c r="R123" s="11" t="str">
        <f t="shared" si="3"/>
        <v>Low Value</v>
      </c>
    </row>
    <row r="124" spans="1:18" x14ac:dyDescent="0.35">
      <c r="A124" s="7" t="s">
        <v>274</v>
      </c>
      <c r="B124" s="8">
        <v>45515</v>
      </c>
      <c r="C124" s="9" t="s">
        <v>243</v>
      </c>
      <c r="D124" s="9" t="s">
        <v>244</v>
      </c>
      <c r="E124" s="9" t="s">
        <v>57</v>
      </c>
      <c r="F124" s="9" t="s">
        <v>58</v>
      </c>
      <c r="G124" s="9" t="s">
        <v>23</v>
      </c>
      <c r="H124" s="9">
        <v>4</v>
      </c>
      <c r="I124" s="9">
        <v>149.99</v>
      </c>
      <c r="J124" s="9" t="s">
        <v>31</v>
      </c>
      <c r="K124" s="9" t="s">
        <v>45</v>
      </c>
      <c r="L124" s="9" t="s">
        <v>32</v>
      </c>
      <c r="M124" s="8">
        <v>44547</v>
      </c>
      <c r="N124" s="9">
        <v>599.96</v>
      </c>
      <c r="O124" s="20" t="str">
        <f>TEXT(CustomerData[[#This Row],[Date]],"mmm")</f>
        <v>Aug</v>
      </c>
      <c r="P124" s="9">
        <f>YEAR(CustomerData[[#This Row],[Date]])</f>
        <v>2024</v>
      </c>
      <c r="Q124" s="10">
        <f t="shared" ca="1" si="2"/>
        <v>1611</v>
      </c>
      <c r="R124" s="11" t="str">
        <f t="shared" si="3"/>
        <v>Medium Value</v>
      </c>
    </row>
    <row r="125" spans="1:18" x14ac:dyDescent="0.35">
      <c r="A125" s="7" t="s">
        <v>275</v>
      </c>
      <c r="B125" s="8">
        <v>45516</v>
      </c>
      <c r="C125" s="9" t="s">
        <v>219</v>
      </c>
      <c r="D125" s="9" t="s">
        <v>220</v>
      </c>
      <c r="E125" s="9" t="s">
        <v>85</v>
      </c>
      <c r="F125" s="9" t="s">
        <v>86</v>
      </c>
      <c r="G125" s="9" t="s">
        <v>23</v>
      </c>
      <c r="H125" s="9">
        <v>2</v>
      </c>
      <c r="I125" s="9">
        <v>699.99</v>
      </c>
      <c r="J125" s="9" t="s">
        <v>62</v>
      </c>
      <c r="K125" s="9" t="s">
        <v>68</v>
      </c>
      <c r="L125" s="9" t="s">
        <v>32</v>
      </c>
      <c r="M125" s="8">
        <v>44548</v>
      </c>
      <c r="N125" s="9">
        <v>1399.98</v>
      </c>
      <c r="O125" s="20" t="str">
        <f>TEXT(CustomerData[[#This Row],[Date]],"mmm")</f>
        <v>Aug</v>
      </c>
      <c r="P125" s="9">
        <f>YEAR(CustomerData[[#This Row],[Date]])</f>
        <v>2024</v>
      </c>
      <c r="Q125" s="10">
        <f t="shared" ca="1" si="2"/>
        <v>1610</v>
      </c>
      <c r="R125" s="11" t="str">
        <f t="shared" si="3"/>
        <v>High Value</v>
      </c>
    </row>
    <row r="126" spans="1:18" x14ac:dyDescent="0.35">
      <c r="A126" s="7" t="s">
        <v>276</v>
      </c>
      <c r="B126" s="8">
        <v>45517</v>
      </c>
      <c r="C126" s="9" t="s">
        <v>240</v>
      </c>
      <c r="D126" s="9" t="s">
        <v>241</v>
      </c>
      <c r="E126" s="9" t="s">
        <v>49</v>
      </c>
      <c r="F126" s="9" t="s">
        <v>50</v>
      </c>
      <c r="G126" s="9" t="s">
        <v>51</v>
      </c>
      <c r="H126" s="9">
        <v>3</v>
      </c>
      <c r="I126" s="9">
        <v>149.99</v>
      </c>
      <c r="J126" s="9" t="s">
        <v>31</v>
      </c>
      <c r="K126" s="9" t="s">
        <v>40</v>
      </c>
      <c r="L126" s="9" t="s">
        <v>41</v>
      </c>
      <c r="M126" s="8">
        <v>44549</v>
      </c>
      <c r="N126" s="9">
        <v>449.97</v>
      </c>
      <c r="O126" s="20" t="str">
        <f>TEXT(CustomerData[[#This Row],[Date]],"mmm")</f>
        <v>Aug</v>
      </c>
      <c r="P126" s="9">
        <f>YEAR(CustomerData[[#This Row],[Date]])</f>
        <v>2024</v>
      </c>
      <c r="Q126" s="10">
        <f t="shared" ca="1" si="2"/>
        <v>1609</v>
      </c>
      <c r="R126" s="11" t="str">
        <f t="shared" si="3"/>
        <v>Low Value</v>
      </c>
    </row>
    <row r="127" spans="1:18" x14ac:dyDescent="0.35">
      <c r="A127" s="7" t="s">
        <v>277</v>
      </c>
      <c r="B127" s="8">
        <v>45518</v>
      </c>
      <c r="C127" s="9" t="s">
        <v>153</v>
      </c>
      <c r="D127" s="9" t="s">
        <v>154</v>
      </c>
      <c r="E127" s="9" t="s">
        <v>111</v>
      </c>
      <c r="F127" s="9" t="s">
        <v>112</v>
      </c>
      <c r="G127" s="9" t="s">
        <v>51</v>
      </c>
      <c r="H127" s="9">
        <v>3</v>
      </c>
      <c r="I127" s="9">
        <v>299.99</v>
      </c>
      <c r="J127" s="9" t="s">
        <v>31</v>
      </c>
      <c r="K127" s="9" t="s">
        <v>25</v>
      </c>
      <c r="L127" s="9" t="s">
        <v>41</v>
      </c>
      <c r="M127" s="8">
        <v>44550</v>
      </c>
      <c r="N127" s="9">
        <v>899.97</v>
      </c>
      <c r="O127" s="20" t="str">
        <f>TEXT(CustomerData[[#This Row],[Date]],"mmm")</f>
        <v>Aug</v>
      </c>
      <c r="P127" s="9">
        <f>YEAR(CustomerData[[#This Row],[Date]])</f>
        <v>2024</v>
      </c>
      <c r="Q127" s="10">
        <f t="shared" ca="1" si="2"/>
        <v>1608</v>
      </c>
      <c r="R127" s="11" t="str">
        <f t="shared" si="3"/>
        <v>Medium Value</v>
      </c>
    </row>
    <row r="128" spans="1:18" x14ac:dyDescent="0.35">
      <c r="A128" s="7" t="s">
        <v>278</v>
      </c>
      <c r="B128" s="8">
        <v>45519</v>
      </c>
      <c r="C128" s="9" t="s">
        <v>88</v>
      </c>
      <c r="D128" s="9" t="s">
        <v>89</v>
      </c>
      <c r="E128" s="9" t="s">
        <v>66</v>
      </c>
      <c r="F128" s="9" t="s">
        <v>67</v>
      </c>
      <c r="G128" s="9" t="s">
        <v>23</v>
      </c>
      <c r="H128" s="9">
        <v>3</v>
      </c>
      <c r="I128" s="9">
        <v>899.99</v>
      </c>
      <c r="J128" s="9" t="s">
        <v>39</v>
      </c>
      <c r="K128" s="9" t="s">
        <v>55</v>
      </c>
      <c r="L128" s="9" t="s">
        <v>26</v>
      </c>
      <c r="M128" s="8">
        <v>44551</v>
      </c>
      <c r="N128" s="9">
        <v>2699.97</v>
      </c>
      <c r="O128" s="20" t="str">
        <f>TEXT(CustomerData[[#This Row],[Date]],"mmm")</f>
        <v>Aug</v>
      </c>
      <c r="P128" s="9">
        <f>YEAR(CustomerData[[#This Row],[Date]])</f>
        <v>2024</v>
      </c>
      <c r="Q128" s="10">
        <f t="shared" ca="1" si="2"/>
        <v>1607</v>
      </c>
      <c r="R128" s="11" t="str">
        <f t="shared" si="3"/>
        <v>VIP Customer</v>
      </c>
    </row>
    <row r="129" spans="1:18" x14ac:dyDescent="0.35">
      <c r="A129" s="7" t="s">
        <v>279</v>
      </c>
      <c r="B129" s="8">
        <v>45520</v>
      </c>
      <c r="C129" s="9" t="s">
        <v>101</v>
      </c>
      <c r="D129" s="9" t="s">
        <v>102</v>
      </c>
      <c r="E129" s="9" t="s">
        <v>85</v>
      </c>
      <c r="F129" s="9" t="s">
        <v>86</v>
      </c>
      <c r="G129" s="9" t="s">
        <v>23</v>
      </c>
      <c r="H129" s="9">
        <v>5</v>
      </c>
      <c r="I129" s="9">
        <v>699.99</v>
      </c>
      <c r="J129" s="9" t="s">
        <v>24</v>
      </c>
      <c r="K129" s="9" t="s">
        <v>68</v>
      </c>
      <c r="L129" s="9" t="s">
        <v>41</v>
      </c>
      <c r="M129" s="8">
        <v>44552</v>
      </c>
      <c r="N129" s="9">
        <v>3499.95</v>
      </c>
      <c r="O129" s="20" t="str">
        <f>TEXT(CustomerData[[#This Row],[Date]],"mmm")</f>
        <v>Aug</v>
      </c>
      <c r="P129" s="9">
        <f>YEAR(CustomerData[[#This Row],[Date]])</f>
        <v>2024</v>
      </c>
      <c r="Q129" s="10">
        <f t="shared" ca="1" si="2"/>
        <v>1606</v>
      </c>
      <c r="R129" s="11" t="str">
        <f t="shared" si="3"/>
        <v>VIP Customer</v>
      </c>
    </row>
    <row r="130" spans="1:18" x14ac:dyDescent="0.35">
      <c r="A130" s="7" t="s">
        <v>280</v>
      </c>
      <c r="B130" s="8">
        <v>45521</v>
      </c>
      <c r="C130" s="9" t="s">
        <v>178</v>
      </c>
      <c r="D130" s="9" t="s">
        <v>179</v>
      </c>
      <c r="E130" s="9" t="s">
        <v>85</v>
      </c>
      <c r="F130" s="9" t="s">
        <v>86</v>
      </c>
      <c r="G130" s="9" t="s">
        <v>23</v>
      </c>
      <c r="H130" s="9">
        <v>4</v>
      </c>
      <c r="I130" s="9">
        <v>699.99</v>
      </c>
      <c r="J130" s="9" t="s">
        <v>31</v>
      </c>
      <c r="K130" s="9" t="s">
        <v>25</v>
      </c>
      <c r="L130" s="9" t="s">
        <v>26</v>
      </c>
      <c r="M130" s="8">
        <v>44553</v>
      </c>
      <c r="N130" s="9">
        <v>2799.96</v>
      </c>
      <c r="O130" s="20" t="str">
        <f>TEXT(CustomerData[[#This Row],[Date]],"mmm")</f>
        <v>Aug</v>
      </c>
      <c r="P130" s="9">
        <f>YEAR(CustomerData[[#This Row],[Date]])</f>
        <v>2024</v>
      </c>
      <c r="Q130" s="10">
        <f t="shared" ca="1" si="2"/>
        <v>1605</v>
      </c>
      <c r="R130" s="11" t="str">
        <f t="shared" si="3"/>
        <v>VIP Customer</v>
      </c>
    </row>
    <row r="131" spans="1:18" x14ac:dyDescent="0.35">
      <c r="A131" s="7" t="s">
        <v>281</v>
      </c>
      <c r="B131" s="8">
        <v>45522</v>
      </c>
      <c r="C131" s="9" t="s">
        <v>156</v>
      </c>
      <c r="D131" s="9" t="s">
        <v>157</v>
      </c>
      <c r="E131" s="9" t="s">
        <v>66</v>
      </c>
      <c r="F131" s="9" t="s">
        <v>67</v>
      </c>
      <c r="G131" s="9" t="s">
        <v>23</v>
      </c>
      <c r="H131" s="9">
        <v>1</v>
      </c>
      <c r="I131" s="9">
        <v>899.99</v>
      </c>
      <c r="J131" s="9" t="s">
        <v>31</v>
      </c>
      <c r="K131" s="9" t="s">
        <v>68</v>
      </c>
      <c r="L131" s="9" t="s">
        <v>41</v>
      </c>
      <c r="M131" s="8">
        <v>44554</v>
      </c>
      <c r="N131" s="9">
        <v>899.99</v>
      </c>
      <c r="O131" s="20" t="str">
        <f>TEXT(CustomerData[[#This Row],[Date]],"mmm")</f>
        <v>Aug</v>
      </c>
      <c r="P131" s="9">
        <f>YEAR(CustomerData[[#This Row],[Date]])</f>
        <v>2024</v>
      </c>
      <c r="Q131" s="10">
        <f t="shared" ref="Q131:Q194" ca="1" si="4">TODAY()-M131</f>
        <v>1604</v>
      </c>
      <c r="R131" s="11" t="str">
        <f t="shared" ref="R131:R194" si="5">IF(N131&gt;=2000,"VIP Customer",IF(N131&gt;=1000,"High Value",IF(N131&gt;=500,"Medium Value","Low Value")))</f>
        <v>Medium Value</v>
      </c>
    </row>
    <row r="132" spans="1:18" x14ac:dyDescent="0.35">
      <c r="A132" s="7" t="s">
        <v>282</v>
      </c>
      <c r="B132" s="8">
        <v>45523</v>
      </c>
      <c r="C132" s="9" t="s">
        <v>235</v>
      </c>
      <c r="D132" s="9" t="s">
        <v>236</v>
      </c>
      <c r="E132" s="9" t="s">
        <v>57</v>
      </c>
      <c r="F132" s="9" t="s">
        <v>58</v>
      </c>
      <c r="G132" s="9" t="s">
        <v>23</v>
      </c>
      <c r="H132" s="9">
        <v>2</v>
      </c>
      <c r="I132" s="9">
        <v>149.99</v>
      </c>
      <c r="J132" s="9" t="s">
        <v>31</v>
      </c>
      <c r="K132" s="9" t="s">
        <v>55</v>
      </c>
      <c r="L132" s="9" t="s">
        <v>26</v>
      </c>
      <c r="M132" s="8">
        <v>44555</v>
      </c>
      <c r="N132" s="9">
        <v>299.98</v>
      </c>
      <c r="O132" s="20" t="str">
        <f>TEXT(CustomerData[[#This Row],[Date]],"mmm")</f>
        <v>Aug</v>
      </c>
      <c r="P132" s="9">
        <f>YEAR(CustomerData[[#This Row],[Date]])</f>
        <v>2024</v>
      </c>
      <c r="Q132" s="10">
        <f t="shared" ca="1" si="4"/>
        <v>1603</v>
      </c>
      <c r="R132" s="11" t="str">
        <f t="shared" si="5"/>
        <v>Low Value</v>
      </c>
    </row>
    <row r="133" spans="1:18" x14ac:dyDescent="0.35">
      <c r="A133" s="7" t="s">
        <v>283</v>
      </c>
      <c r="B133" s="8">
        <v>45524</v>
      </c>
      <c r="C133" s="9" t="s">
        <v>235</v>
      </c>
      <c r="D133" s="9" t="s">
        <v>236</v>
      </c>
      <c r="E133" s="9" t="s">
        <v>123</v>
      </c>
      <c r="F133" s="9" t="s">
        <v>124</v>
      </c>
      <c r="G133" s="9" t="s">
        <v>23</v>
      </c>
      <c r="H133" s="9">
        <v>3</v>
      </c>
      <c r="I133" s="9">
        <v>89.99</v>
      </c>
      <c r="J133" s="9" t="s">
        <v>39</v>
      </c>
      <c r="K133" s="9" t="s">
        <v>25</v>
      </c>
      <c r="L133" s="9" t="s">
        <v>26</v>
      </c>
      <c r="M133" s="8">
        <v>44556</v>
      </c>
      <c r="N133" s="9">
        <v>269.97000000000003</v>
      </c>
      <c r="O133" s="20" t="str">
        <f>TEXT(CustomerData[[#This Row],[Date]],"mmm")</f>
        <v>Aug</v>
      </c>
      <c r="P133" s="9">
        <f>YEAR(CustomerData[[#This Row],[Date]])</f>
        <v>2024</v>
      </c>
      <c r="Q133" s="10">
        <f t="shared" ca="1" si="4"/>
        <v>1602</v>
      </c>
      <c r="R133" s="11" t="str">
        <f t="shared" si="5"/>
        <v>Low Value</v>
      </c>
    </row>
    <row r="134" spans="1:18" x14ac:dyDescent="0.35">
      <c r="A134" s="7" t="s">
        <v>284</v>
      </c>
      <c r="B134" s="8">
        <v>45525</v>
      </c>
      <c r="C134" s="9" t="s">
        <v>43</v>
      </c>
      <c r="D134" s="9" t="s">
        <v>44</v>
      </c>
      <c r="E134" s="9" t="s">
        <v>57</v>
      </c>
      <c r="F134" s="9" t="s">
        <v>58</v>
      </c>
      <c r="G134" s="9" t="s">
        <v>23</v>
      </c>
      <c r="H134" s="9">
        <v>2</v>
      </c>
      <c r="I134" s="9">
        <v>149.99</v>
      </c>
      <c r="J134" s="9" t="s">
        <v>39</v>
      </c>
      <c r="K134" s="9" t="s">
        <v>25</v>
      </c>
      <c r="L134" s="9" t="s">
        <v>26</v>
      </c>
      <c r="M134" s="8">
        <v>44557</v>
      </c>
      <c r="N134" s="9">
        <v>299.98</v>
      </c>
      <c r="O134" s="20" t="str">
        <f>TEXT(CustomerData[[#This Row],[Date]],"mmm")</f>
        <v>Aug</v>
      </c>
      <c r="P134" s="9">
        <f>YEAR(CustomerData[[#This Row],[Date]])</f>
        <v>2024</v>
      </c>
      <c r="Q134" s="10">
        <f t="shared" ca="1" si="4"/>
        <v>1601</v>
      </c>
      <c r="R134" s="11" t="str">
        <f t="shared" si="5"/>
        <v>Low Value</v>
      </c>
    </row>
    <row r="135" spans="1:18" x14ac:dyDescent="0.35">
      <c r="A135" s="7" t="s">
        <v>285</v>
      </c>
      <c r="B135" s="8">
        <v>45526</v>
      </c>
      <c r="C135" s="9" t="s">
        <v>161</v>
      </c>
      <c r="D135" s="9" t="s">
        <v>162</v>
      </c>
      <c r="E135" s="9" t="s">
        <v>85</v>
      </c>
      <c r="F135" s="9" t="s">
        <v>86</v>
      </c>
      <c r="G135" s="9" t="s">
        <v>23</v>
      </c>
      <c r="H135" s="9">
        <v>2</v>
      </c>
      <c r="I135" s="9">
        <v>699.99</v>
      </c>
      <c r="J135" s="9" t="s">
        <v>24</v>
      </c>
      <c r="K135" s="9" t="s">
        <v>25</v>
      </c>
      <c r="L135" s="9" t="s">
        <v>26</v>
      </c>
      <c r="M135" s="8">
        <v>44558</v>
      </c>
      <c r="N135" s="9">
        <v>1399.98</v>
      </c>
      <c r="O135" s="20" t="str">
        <f>TEXT(CustomerData[[#This Row],[Date]],"mmm")</f>
        <v>Aug</v>
      </c>
      <c r="P135" s="9">
        <f>YEAR(CustomerData[[#This Row],[Date]])</f>
        <v>2024</v>
      </c>
      <c r="Q135" s="10">
        <f t="shared" ca="1" si="4"/>
        <v>1600</v>
      </c>
      <c r="R135" s="11" t="str">
        <f t="shared" si="5"/>
        <v>High Value</v>
      </c>
    </row>
    <row r="136" spans="1:18" x14ac:dyDescent="0.35">
      <c r="A136" s="7" t="s">
        <v>286</v>
      </c>
      <c r="B136" s="8">
        <v>45527</v>
      </c>
      <c r="C136" s="9" t="s">
        <v>165</v>
      </c>
      <c r="D136" s="9" t="s">
        <v>166</v>
      </c>
      <c r="E136" s="9" t="s">
        <v>85</v>
      </c>
      <c r="F136" s="9" t="s">
        <v>86</v>
      </c>
      <c r="G136" s="9" t="s">
        <v>23</v>
      </c>
      <c r="H136" s="9">
        <v>5</v>
      </c>
      <c r="I136" s="9">
        <v>699.99</v>
      </c>
      <c r="J136" s="9" t="s">
        <v>24</v>
      </c>
      <c r="K136" s="9" t="s">
        <v>45</v>
      </c>
      <c r="L136" s="9" t="s">
        <v>32</v>
      </c>
      <c r="M136" s="8">
        <v>44559</v>
      </c>
      <c r="N136" s="9">
        <v>3499.95</v>
      </c>
      <c r="O136" s="20" t="str">
        <f>TEXT(CustomerData[[#This Row],[Date]],"mmm")</f>
        <v>Aug</v>
      </c>
      <c r="P136" s="9">
        <f>YEAR(CustomerData[[#This Row],[Date]])</f>
        <v>2024</v>
      </c>
      <c r="Q136" s="10">
        <f t="shared" ca="1" si="4"/>
        <v>1599</v>
      </c>
      <c r="R136" s="11" t="str">
        <f t="shared" si="5"/>
        <v>VIP Customer</v>
      </c>
    </row>
    <row r="137" spans="1:18" x14ac:dyDescent="0.35">
      <c r="A137" s="7" t="s">
        <v>287</v>
      </c>
      <c r="B137" s="8">
        <v>45528</v>
      </c>
      <c r="C137" s="9" t="s">
        <v>178</v>
      </c>
      <c r="D137" s="9" t="s">
        <v>179</v>
      </c>
      <c r="E137" s="9" t="s">
        <v>123</v>
      </c>
      <c r="F137" s="9" t="s">
        <v>124</v>
      </c>
      <c r="G137" s="9" t="s">
        <v>23</v>
      </c>
      <c r="H137" s="9">
        <v>3</v>
      </c>
      <c r="I137" s="9">
        <v>89.99</v>
      </c>
      <c r="J137" s="9" t="s">
        <v>31</v>
      </c>
      <c r="K137" s="9" t="s">
        <v>45</v>
      </c>
      <c r="L137" s="9" t="s">
        <v>41</v>
      </c>
      <c r="M137" s="8">
        <v>44560</v>
      </c>
      <c r="N137" s="9">
        <v>269.97000000000003</v>
      </c>
      <c r="O137" s="20" t="str">
        <f>TEXT(CustomerData[[#This Row],[Date]],"mmm")</f>
        <v>Aug</v>
      </c>
      <c r="P137" s="9">
        <f>YEAR(CustomerData[[#This Row],[Date]])</f>
        <v>2024</v>
      </c>
      <c r="Q137" s="10">
        <f t="shared" ca="1" si="4"/>
        <v>1598</v>
      </c>
      <c r="R137" s="11" t="str">
        <f t="shared" si="5"/>
        <v>Low Value</v>
      </c>
    </row>
    <row r="138" spans="1:18" x14ac:dyDescent="0.35">
      <c r="A138" s="7" t="s">
        <v>288</v>
      </c>
      <c r="B138" s="8">
        <v>45529</v>
      </c>
      <c r="C138" s="9" t="s">
        <v>19</v>
      </c>
      <c r="D138" s="9" t="s">
        <v>20</v>
      </c>
      <c r="E138" s="9" t="s">
        <v>21</v>
      </c>
      <c r="F138" s="9" t="s">
        <v>22</v>
      </c>
      <c r="G138" s="9" t="s">
        <v>23</v>
      </c>
      <c r="H138" s="9">
        <v>5</v>
      </c>
      <c r="I138" s="9">
        <v>249.99</v>
      </c>
      <c r="J138" s="9" t="s">
        <v>31</v>
      </c>
      <c r="K138" s="9" t="s">
        <v>40</v>
      </c>
      <c r="L138" s="9" t="s">
        <v>41</v>
      </c>
      <c r="M138" s="8">
        <v>44561</v>
      </c>
      <c r="N138" s="9">
        <v>1249.95</v>
      </c>
      <c r="O138" s="20" t="str">
        <f>TEXT(CustomerData[[#This Row],[Date]],"mmm")</f>
        <v>Aug</v>
      </c>
      <c r="P138" s="9">
        <f>YEAR(CustomerData[[#This Row],[Date]])</f>
        <v>2024</v>
      </c>
      <c r="Q138" s="10">
        <f t="shared" ca="1" si="4"/>
        <v>1597</v>
      </c>
      <c r="R138" s="11" t="str">
        <f t="shared" si="5"/>
        <v>High Value</v>
      </c>
    </row>
    <row r="139" spans="1:18" x14ac:dyDescent="0.35">
      <c r="A139" s="7" t="s">
        <v>290</v>
      </c>
      <c r="B139" s="8">
        <v>45530</v>
      </c>
      <c r="C139" s="9" t="s">
        <v>70</v>
      </c>
      <c r="D139" s="9" t="s">
        <v>71</v>
      </c>
      <c r="E139" s="9" t="s">
        <v>111</v>
      </c>
      <c r="F139" s="9" t="s">
        <v>112</v>
      </c>
      <c r="G139" s="9" t="s">
        <v>51</v>
      </c>
      <c r="H139" s="9">
        <v>3</v>
      </c>
      <c r="I139" s="9">
        <v>299.99</v>
      </c>
      <c r="J139" s="9" t="s">
        <v>31</v>
      </c>
      <c r="K139" s="9" t="s">
        <v>40</v>
      </c>
      <c r="L139" s="9" t="s">
        <v>41</v>
      </c>
      <c r="M139" s="8">
        <v>44562</v>
      </c>
      <c r="N139" s="9">
        <v>899.97</v>
      </c>
      <c r="O139" s="20" t="str">
        <f>TEXT(CustomerData[[#This Row],[Date]],"mmm")</f>
        <v>Aug</v>
      </c>
      <c r="P139" s="9">
        <f>YEAR(CustomerData[[#This Row],[Date]])</f>
        <v>2024</v>
      </c>
      <c r="Q139" s="10">
        <f t="shared" ca="1" si="4"/>
        <v>1596</v>
      </c>
      <c r="R139" s="11" t="str">
        <f t="shared" si="5"/>
        <v>Medium Value</v>
      </c>
    </row>
    <row r="140" spans="1:18" x14ac:dyDescent="0.35">
      <c r="A140" s="7" t="s">
        <v>291</v>
      </c>
      <c r="B140" s="8">
        <v>45531</v>
      </c>
      <c r="C140" s="9" t="s">
        <v>104</v>
      </c>
      <c r="D140" s="9" t="s">
        <v>105</v>
      </c>
      <c r="E140" s="9" t="s">
        <v>123</v>
      </c>
      <c r="F140" s="9" t="s">
        <v>124</v>
      </c>
      <c r="G140" s="9" t="s">
        <v>23</v>
      </c>
      <c r="H140" s="9">
        <v>3</v>
      </c>
      <c r="I140" s="9">
        <v>89.99</v>
      </c>
      <c r="J140" s="9" t="s">
        <v>31</v>
      </c>
      <c r="K140" s="9" t="s">
        <v>45</v>
      </c>
      <c r="L140" s="9" t="s">
        <v>32</v>
      </c>
      <c r="M140" s="8">
        <v>44563</v>
      </c>
      <c r="N140" s="9">
        <v>269.97000000000003</v>
      </c>
      <c r="O140" s="20" t="str">
        <f>TEXT(CustomerData[[#This Row],[Date]],"mmm")</f>
        <v>Aug</v>
      </c>
      <c r="P140" s="9">
        <f>YEAR(CustomerData[[#This Row],[Date]])</f>
        <v>2024</v>
      </c>
      <c r="Q140" s="10">
        <f t="shared" ca="1" si="4"/>
        <v>1595</v>
      </c>
      <c r="R140" s="11" t="str">
        <f t="shared" si="5"/>
        <v>Low Value</v>
      </c>
    </row>
    <row r="141" spans="1:18" x14ac:dyDescent="0.35">
      <c r="A141" s="7" t="s">
        <v>292</v>
      </c>
      <c r="B141" s="8">
        <v>45532</v>
      </c>
      <c r="C141" s="9" t="s">
        <v>94</v>
      </c>
      <c r="D141" s="9" t="s">
        <v>95</v>
      </c>
      <c r="E141" s="9" t="s">
        <v>49</v>
      </c>
      <c r="F141" s="9" t="s">
        <v>50</v>
      </c>
      <c r="G141" s="9" t="s">
        <v>51</v>
      </c>
      <c r="H141" s="9">
        <v>2</v>
      </c>
      <c r="I141" s="9">
        <v>149.99</v>
      </c>
      <c r="J141" s="9" t="s">
        <v>31</v>
      </c>
      <c r="K141" s="9" t="s">
        <v>55</v>
      </c>
      <c r="L141" s="9" t="s">
        <v>32</v>
      </c>
      <c r="M141" s="8">
        <v>44564</v>
      </c>
      <c r="N141" s="9">
        <v>299.98</v>
      </c>
      <c r="O141" s="20" t="str">
        <f>TEXT(CustomerData[[#This Row],[Date]],"mmm")</f>
        <v>Aug</v>
      </c>
      <c r="P141" s="9">
        <f>YEAR(CustomerData[[#This Row],[Date]])</f>
        <v>2024</v>
      </c>
      <c r="Q141" s="10">
        <f t="shared" ca="1" si="4"/>
        <v>1594</v>
      </c>
      <c r="R141" s="11" t="str">
        <f t="shared" si="5"/>
        <v>Low Value</v>
      </c>
    </row>
    <row r="142" spans="1:18" x14ac:dyDescent="0.35">
      <c r="A142" s="7" t="s">
        <v>293</v>
      </c>
      <c r="B142" s="8">
        <v>45533</v>
      </c>
      <c r="C142" s="9" t="s">
        <v>193</v>
      </c>
      <c r="D142" s="9" t="s">
        <v>194</v>
      </c>
      <c r="E142" s="9" t="s">
        <v>21</v>
      </c>
      <c r="F142" s="9" t="s">
        <v>22</v>
      </c>
      <c r="G142" s="9" t="s">
        <v>23</v>
      </c>
      <c r="H142" s="9">
        <v>1</v>
      </c>
      <c r="I142" s="9">
        <v>249.99</v>
      </c>
      <c r="J142" s="9" t="s">
        <v>31</v>
      </c>
      <c r="K142" s="9" t="s">
        <v>45</v>
      </c>
      <c r="L142" s="9" t="s">
        <v>32</v>
      </c>
      <c r="M142" s="8">
        <v>44565</v>
      </c>
      <c r="N142" s="9">
        <v>249.99</v>
      </c>
      <c r="O142" s="20" t="str">
        <f>TEXT(CustomerData[[#This Row],[Date]],"mmm")</f>
        <v>Aug</v>
      </c>
      <c r="P142" s="9">
        <f>YEAR(CustomerData[[#This Row],[Date]])</f>
        <v>2024</v>
      </c>
      <c r="Q142" s="10">
        <f t="shared" ca="1" si="4"/>
        <v>1593</v>
      </c>
      <c r="R142" s="11" t="str">
        <f t="shared" si="5"/>
        <v>Low Value</v>
      </c>
    </row>
    <row r="143" spans="1:18" x14ac:dyDescent="0.35">
      <c r="A143" s="7" t="s">
        <v>294</v>
      </c>
      <c r="B143" s="8">
        <v>45534</v>
      </c>
      <c r="C143" s="9" t="s">
        <v>77</v>
      </c>
      <c r="D143" s="9" t="s">
        <v>78</v>
      </c>
      <c r="E143" s="9" t="s">
        <v>57</v>
      </c>
      <c r="F143" s="9" t="s">
        <v>58</v>
      </c>
      <c r="G143" s="9" t="s">
        <v>23</v>
      </c>
      <c r="H143" s="9">
        <v>3</v>
      </c>
      <c r="I143" s="9">
        <v>149.99</v>
      </c>
      <c r="J143" s="9" t="s">
        <v>24</v>
      </c>
      <c r="K143" s="9" t="s">
        <v>45</v>
      </c>
      <c r="L143" s="9" t="s">
        <v>26</v>
      </c>
      <c r="M143" s="8">
        <v>44566</v>
      </c>
      <c r="N143" s="9">
        <v>449.97</v>
      </c>
      <c r="O143" s="20" t="str">
        <f>TEXT(CustomerData[[#This Row],[Date]],"mmm")</f>
        <v>Aug</v>
      </c>
      <c r="P143" s="9">
        <f>YEAR(CustomerData[[#This Row],[Date]])</f>
        <v>2024</v>
      </c>
      <c r="Q143" s="10">
        <f t="shared" ca="1" si="4"/>
        <v>1592</v>
      </c>
      <c r="R143" s="11" t="str">
        <f t="shared" si="5"/>
        <v>Low Value</v>
      </c>
    </row>
    <row r="144" spans="1:18" x14ac:dyDescent="0.35">
      <c r="A144" s="7" t="s">
        <v>295</v>
      </c>
      <c r="B144" s="8">
        <v>45535</v>
      </c>
      <c r="C144" s="9" t="s">
        <v>19</v>
      </c>
      <c r="D144" s="9" t="s">
        <v>20</v>
      </c>
      <c r="E144" s="9" t="s">
        <v>36</v>
      </c>
      <c r="F144" s="9" t="s">
        <v>37</v>
      </c>
      <c r="G144" s="9" t="s">
        <v>38</v>
      </c>
      <c r="H144" s="9">
        <v>5</v>
      </c>
      <c r="I144" s="9">
        <v>59.99</v>
      </c>
      <c r="J144" s="9" t="s">
        <v>39</v>
      </c>
      <c r="K144" s="9" t="s">
        <v>55</v>
      </c>
      <c r="L144" s="9" t="s">
        <v>32</v>
      </c>
      <c r="M144" s="8">
        <v>44567</v>
      </c>
      <c r="N144" s="9">
        <v>299.95</v>
      </c>
      <c r="O144" s="20" t="str">
        <f>TEXT(CustomerData[[#This Row],[Date]],"mmm")</f>
        <v>Aug</v>
      </c>
      <c r="P144" s="9">
        <f>YEAR(CustomerData[[#This Row],[Date]])</f>
        <v>2024</v>
      </c>
      <c r="Q144" s="10">
        <f t="shared" ca="1" si="4"/>
        <v>1591</v>
      </c>
      <c r="R144" s="11" t="str">
        <f t="shared" si="5"/>
        <v>Low Value</v>
      </c>
    </row>
    <row r="145" spans="1:18" x14ac:dyDescent="0.35">
      <c r="A145" s="7" t="s">
        <v>296</v>
      </c>
      <c r="B145" s="8">
        <v>45536</v>
      </c>
      <c r="C145" s="9" t="s">
        <v>104</v>
      </c>
      <c r="D145" s="9" t="s">
        <v>105</v>
      </c>
      <c r="E145" s="9" t="s">
        <v>21</v>
      </c>
      <c r="F145" s="9" t="s">
        <v>22</v>
      </c>
      <c r="G145" s="9" t="s">
        <v>23</v>
      </c>
      <c r="H145" s="9">
        <v>4</v>
      </c>
      <c r="I145" s="9">
        <v>249.99</v>
      </c>
      <c r="J145" s="9" t="s">
        <v>31</v>
      </c>
      <c r="K145" s="9" t="s">
        <v>55</v>
      </c>
      <c r="L145" s="9" t="s">
        <v>41</v>
      </c>
      <c r="M145" s="8">
        <v>44568</v>
      </c>
      <c r="N145" s="9">
        <v>999.96</v>
      </c>
      <c r="O145" s="20" t="str">
        <f>TEXT(CustomerData[[#This Row],[Date]],"mmm")</f>
        <v>Sep</v>
      </c>
      <c r="P145" s="9">
        <f>YEAR(CustomerData[[#This Row],[Date]])</f>
        <v>2024</v>
      </c>
      <c r="Q145" s="10">
        <f t="shared" ca="1" si="4"/>
        <v>1590</v>
      </c>
      <c r="R145" s="11" t="str">
        <f t="shared" si="5"/>
        <v>Medium Value</v>
      </c>
    </row>
    <row r="146" spans="1:18" x14ac:dyDescent="0.35">
      <c r="A146" s="7" t="s">
        <v>297</v>
      </c>
      <c r="B146" s="8">
        <v>45537</v>
      </c>
      <c r="C146" s="9" t="s">
        <v>161</v>
      </c>
      <c r="D146" s="9" t="s">
        <v>162</v>
      </c>
      <c r="E146" s="9" t="s">
        <v>49</v>
      </c>
      <c r="F146" s="9" t="s">
        <v>50</v>
      </c>
      <c r="G146" s="9" t="s">
        <v>51</v>
      </c>
      <c r="H146" s="9">
        <v>5</v>
      </c>
      <c r="I146" s="9">
        <v>149.99</v>
      </c>
      <c r="J146" s="9" t="s">
        <v>39</v>
      </c>
      <c r="K146" s="9" t="s">
        <v>25</v>
      </c>
      <c r="L146" s="9" t="s">
        <v>26</v>
      </c>
      <c r="M146" s="8">
        <v>44569</v>
      </c>
      <c r="N146" s="9">
        <v>749.95</v>
      </c>
      <c r="O146" s="20" t="str">
        <f>TEXT(CustomerData[[#This Row],[Date]],"mmm")</f>
        <v>Sep</v>
      </c>
      <c r="P146" s="9">
        <f>YEAR(CustomerData[[#This Row],[Date]])</f>
        <v>2024</v>
      </c>
      <c r="Q146" s="10">
        <f t="shared" ca="1" si="4"/>
        <v>1589</v>
      </c>
      <c r="R146" s="11" t="str">
        <f t="shared" si="5"/>
        <v>Medium Value</v>
      </c>
    </row>
    <row r="147" spans="1:18" x14ac:dyDescent="0.35">
      <c r="A147" s="7" t="s">
        <v>298</v>
      </c>
      <c r="B147" s="8">
        <v>45538</v>
      </c>
      <c r="C147" s="9" t="s">
        <v>88</v>
      </c>
      <c r="D147" s="9" t="s">
        <v>89</v>
      </c>
      <c r="E147" s="9" t="s">
        <v>36</v>
      </c>
      <c r="F147" s="9" t="s">
        <v>37</v>
      </c>
      <c r="G147" s="9" t="s">
        <v>38</v>
      </c>
      <c r="H147" s="9">
        <v>3</v>
      </c>
      <c r="I147" s="9">
        <v>59.99</v>
      </c>
      <c r="J147" s="9" t="s">
        <v>62</v>
      </c>
      <c r="K147" s="9" t="s">
        <v>40</v>
      </c>
      <c r="L147" s="9" t="s">
        <v>41</v>
      </c>
      <c r="M147" s="8">
        <v>44570</v>
      </c>
      <c r="N147" s="9">
        <v>179.97</v>
      </c>
      <c r="O147" s="20" t="str">
        <f>TEXT(CustomerData[[#This Row],[Date]],"mmm")</f>
        <v>Sep</v>
      </c>
      <c r="P147" s="9">
        <f>YEAR(CustomerData[[#This Row],[Date]])</f>
        <v>2024</v>
      </c>
      <c r="Q147" s="10">
        <f t="shared" ca="1" si="4"/>
        <v>1588</v>
      </c>
      <c r="R147" s="11" t="str">
        <f t="shared" si="5"/>
        <v>Low Value</v>
      </c>
    </row>
    <row r="148" spans="1:18" x14ac:dyDescent="0.35">
      <c r="A148" s="7" t="s">
        <v>299</v>
      </c>
      <c r="B148" s="8">
        <v>45539</v>
      </c>
      <c r="C148" s="9" t="s">
        <v>243</v>
      </c>
      <c r="D148" s="9" t="s">
        <v>244</v>
      </c>
      <c r="E148" s="9" t="s">
        <v>49</v>
      </c>
      <c r="F148" s="9" t="s">
        <v>50</v>
      </c>
      <c r="G148" s="9" t="s">
        <v>51</v>
      </c>
      <c r="H148" s="9">
        <v>5</v>
      </c>
      <c r="I148" s="9">
        <v>149.99</v>
      </c>
      <c r="J148" s="9" t="s">
        <v>24</v>
      </c>
      <c r="K148" s="9" t="s">
        <v>45</v>
      </c>
      <c r="L148" s="9" t="s">
        <v>26</v>
      </c>
      <c r="M148" s="8">
        <v>44571</v>
      </c>
      <c r="N148" s="9">
        <v>749.95</v>
      </c>
      <c r="O148" s="20" t="str">
        <f>TEXT(CustomerData[[#This Row],[Date]],"mmm")</f>
        <v>Sep</v>
      </c>
      <c r="P148" s="9">
        <f>YEAR(CustomerData[[#This Row],[Date]])</f>
        <v>2024</v>
      </c>
      <c r="Q148" s="10">
        <f t="shared" ca="1" si="4"/>
        <v>1587</v>
      </c>
      <c r="R148" s="11" t="str">
        <f t="shared" si="5"/>
        <v>Medium Value</v>
      </c>
    </row>
    <row r="149" spans="1:18" x14ac:dyDescent="0.35">
      <c r="A149" s="7" t="s">
        <v>300</v>
      </c>
      <c r="B149" s="8">
        <v>45540</v>
      </c>
      <c r="C149" s="9" t="s">
        <v>91</v>
      </c>
      <c r="D149" s="9" t="s">
        <v>92</v>
      </c>
      <c r="E149" s="9" t="s">
        <v>85</v>
      </c>
      <c r="F149" s="9" t="s">
        <v>86</v>
      </c>
      <c r="G149" s="9" t="s">
        <v>23</v>
      </c>
      <c r="H149" s="9">
        <v>2</v>
      </c>
      <c r="I149" s="9">
        <v>699.99</v>
      </c>
      <c r="J149" s="9" t="s">
        <v>39</v>
      </c>
      <c r="K149" s="9" t="s">
        <v>55</v>
      </c>
      <c r="L149" s="9" t="s">
        <v>41</v>
      </c>
      <c r="M149" s="8">
        <v>44572</v>
      </c>
      <c r="N149" s="9">
        <v>1399.98</v>
      </c>
      <c r="O149" s="20" t="str">
        <f>TEXT(CustomerData[[#This Row],[Date]],"mmm")</f>
        <v>Sep</v>
      </c>
      <c r="P149" s="9">
        <f>YEAR(CustomerData[[#This Row],[Date]])</f>
        <v>2024</v>
      </c>
      <c r="Q149" s="10">
        <f t="shared" ca="1" si="4"/>
        <v>1586</v>
      </c>
      <c r="R149" s="11" t="str">
        <f t="shared" si="5"/>
        <v>High Value</v>
      </c>
    </row>
    <row r="150" spans="1:18" x14ac:dyDescent="0.35">
      <c r="A150" s="7" t="s">
        <v>301</v>
      </c>
      <c r="B150" s="8">
        <v>45541</v>
      </c>
      <c r="C150" s="9" t="s">
        <v>129</v>
      </c>
      <c r="D150" s="9" t="s">
        <v>130</v>
      </c>
      <c r="E150" s="9" t="s">
        <v>132</v>
      </c>
      <c r="F150" s="9" t="s">
        <v>133</v>
      </c>
      <c r="G150" s="9" t="s">
        <v>51</v>
      </c>
      <c r="H150" s="9">
        <v>4</v>
      </c>
      <c r="I150" s="9">
        <v>199.99</v>
      </c>
      <c r="J150" s="9" t="s">
        <v>62</v>
      </c>
      <c r="K150" s="9" t="s">
        <v>25</v>
      </c>
      <c r="L150" s="9" t="s">
        <v>32</v>
      </c>
      <c r="M150" s="8">
        <v>44573</v>
      </c>
      <c r="N150" s="9">
        <v>799.96</v>
      </c>
      <c r="O150" s="20" t="str">
        <f>TEXT(CustomerData[[#This Row],[Date]],"mmm")</f>
        <v>Sep</v>
      </c>
      <c r="P150" s="9">
        <f>YEAR(CustomerData[[#This Row],[Date]])</f>
        <v>2024</v>
      </c>
      <c r="Q150" s="10">
        <f t="shared" ca="1" si="4"/>
        <v>1585</v>
      </c>
      <c r="R150" s="11" t="str">
        <f t="shared" si="5"/>
        <v>Medium Value</v>
      </c>
    </row>
    <row r="151" spans="1:18" x14ac:dyDescent="0.35">
      <c r="A151" s="7" t="s">
        <v>302</v>
      </c>
      <c r="B151" s="8">
        <v>45542</v>
      </c>
      <c r="C151" s="9" t="s">
        <v>200</v>
      </c>
      <c r="D151" s="9" t="s">
        <v>201</v>
      </c>
      <c r="E151" s="9" t="s">
        <v>36</v>
      </c>
      <c r="F151" s="9" t="s">
        <v>37</v>
      </c>
      <c r="G151" s="9" t="s">
        <v>38</v>
      </c>
      <c r="H151" s="9">
        <v>1</v>
      </c>
      <c r="I151" s="9">
        <v>59.99</v>
      </c>
      <c r="J151" s="9" t="s">
        <v>62</v>
      </c>
      <c r="K151" s="9" t="s">
        <v>55</v>
      </c>
      <c r="L151" s="9" t="s">
        <v>41</v>
      </c>
      <c r="M151" s="8">
        <v>44574</v>
      </c>
      <c r="N151" s="9">
        <v>59.99</v>
      </c>
      <c r="O151" s="20" t="str">
        <f>TEXT(CustomerData[[#This Row],[Date]],"mmm")</f>
        <v>Sep</v>
      </c>
      <c r="P151" s="9">
        <f>YEAR(CustomerData[[#This Row],[Date]])</f>
        <v>2024</v>
      </c>
      <c r="Q151" s="10">
        <f t="shared" ca="1" si="4"/>
        <v>1584</v>
      </c>
      <c r="R151" s="11" t="str">
        <f t="shared" si="5"/>
        <v>Low Value</v>
      </c>
    </row>
    <row r="152" spans="1:18" x14ac:dyDescent="0.35">
      <c r="A152" s="7" t="s">
        <v>303</v>
      </c>
      <c r="B152" s="8">
        <v>45543</v>
      </c>
      <c r="C152" s="9" t="s">
        <v>161</v>
      </c>
      <c r="D152" s="9" t="s">
        <v>162</v>
      </c>
      <c r="E152" s="9" t="s">
        <v>85</v>
      </c>
      <c r="F152" s="9" t="s">
        <v>86</v>
      </c>
      <c r="G152" s="9" t="s">
        <v>23</v>
      </c>
      <c r="H152" s="9">
        <v>3</v>
      </c>
      <c r="I152" s="9">
        <v>699.99</v>
      </c>
      <c r="J152" s="9" t="s">
        <v>39</v>
      </c>
      <c r="K152" s="9" t="s">
        <v>55</v>
      </c>
      <c r="L152" s="9" t="s">
        <v>41</v>
      </c>
      <c r="M152" s="8">
        <v>44575</v>
      </c>
      <c r="N152" s="9">
        <v>2099.9699999999998</v>
      </c>
      <c r="O152" s="20" t="str">
        <f>TEXT(CustomerData[[#This Row],[Date]],"mmm")</f>
        <v>Sep</v>
      </c>
      <c r="P152" s="9">
        <f>YEAR(CustomerData[[#This Row],[Date]])</f>
        <v>2024</v>
      </c>
      <c r="Q152" s="10">
        <f t="shared" ca="1" si="4"/>
        <v>1583</v>
      </c>
      <c r="R152" s="11" t="str">
        <f t="shared" si="5"/>
        <v>VIP Customer</v>
      </c>
    </row>
    <row r="153" spans="1:18" x14ac:dyDescent="0.35">
      <c r="A153" s="7" t="s">
        <v>304</v>
      </c>
      <c r="B153" s="8">
        <v>45544</v>
      </c>
      <c r="C153" s="9" t="s">
        <v>305</v>
      </c>
      <c r="D153" s="9" t="s">
        <v>306</v>
      </c>
      <c r="E153" s="9" t="s">
        <v>21</v>
      </c>
      <c r="F153" s="9" t="s">
        <v>22</v>
      </c>
      <c r="G153" s="9" t="s">
        <v>23</v>
      </c>
      <c r="H153" s="9">
        <v>5</v>
      </c>
      <c r="I153" s="9">
        <v>249.99</v>
      </c>
      <c r="J153" s="9" t="s">
        <v>31</v>
      </c>
      <c r="K153" s="9" t="s">
        <v>45</v>
      </c>
      <c r="L153" s="9" t="s">
        <v>26</v>
      </c>
      <c r="M153" s="8">
        <v>44576</v>
      </c>
      <c r="N153" s="9">
        <v>1249.95</v>
      </c>
      <c r="O153" s="20" t="str">
        <f>TEXT(CustomerData[[#This Row],[Date]],"mmm")</f>
        <v>Sep</v>
      </c>
      <c r="P153" s="9">
        <f>YEAR(CustomerData[[#This Row],[Date]])</f>
        <v>2024</v>
      </c>
      <c r="Q153" s="10">
        <f t="shared" ca="1" si="4"/>
        <v>1582</v>
      </c>
      <c r="R153" s="11" t="str">
        <f t="shared" si="5"/>
        <v>High Value</v>
      </c>
    </row>
    <row r="154" spans="1:18" x14ac:dyDescent="0.35">
      <c r="A154" s="7" t="s">
        <v>307</v>
      </c>
      <c r="B154" s="8">
        <v>45545</v>
      </c>
      <c r="C154" s="9" t="s">
        <v>118</v>
      </c>
      <c r="D154" s="9" t="s">
        <v>119</v>
      </c>
      <c r="E154" s="9" t="s">
        <v>49</v>
      </c>
      <c r="F154" s="9" t="s">
        <v>50</v>
      </c>
      <c r="G154" s="9" t="s">
        <v>51</v>
      </c>
      <c r="H154" s="9">
        <v>2</v>
      </c>
      <c r="I154" s="9">
        <v>149.99</v>
      </c>
      <c r="J154" s="9" t="s">
        <v>24</v>
      </c>
      <c r="K154" s="9" t="s">
        <v>40</v>
      </c>
      <c r="L154" s="9" t="s">
        <v>41</v>
      </c>
      <c r="M154" s="8">
        <v>44577</v>
      </c>
      <c r="N154" s="9">
        <v>299.98</v>
      </c>
      <c r="O154" s="20" t="str">
        <f>TEXT(CustomerData[[#This Row],[Date]],"mmm")</f>
        <v>Sep</v>
      </c>
      <c r="P154" s="9">
        <f>YEAR(CustomerData[[#This Row],[Date]])</f>
        <v>2024</v>
      </c>
      <c r="Q154" s="10">
        <f t="shared" ca="1" si="4"/>
        <v>1581</v>
      </c>
      <c r="R154" s="11" t="str">
        <f t="shared" si="5"/>
        <v>Low Value</v>
      </c>
    </row>
    <row r="155" spans="1:18" x14ac:dyDescent="0.35">
      <c r="A155" s="7" t="s">
        <v>308</v>
      </c>
      <c r="B155" s="8">
        <v>45546</v>
      </c>
      <c r="C155" s="9" t="s">
        <v>34</v>
      </c>
      <c r="D155" s="9" t="s">
        <v>35</v>
      </c>
      <c r="E155" s="9" t="s">
        <v>111</v>
      </c>
      <c r="F155" s="9" t="s">
        <v>112</v>
      </c>
      <c r="G155" s="9" t="s">
        <v>51</v>
      </c>
      <c r="H155" s="9">
        <v>3</v>
      </c>
      <c r="I155" s="9">
        <v>299.99</v>
      </c>
      <c r="J155" s="9" t="s">
        <v>24</v>
      </c>
      <c r="K155" s="9" t="s">
        <v>40</v>
      </c>
      <c r="L155" s="9" t="s">
        <v>32</v>
      </c>
      <c r="M155" s="8">
        <v>44578</v>
      </c>
      <c r="N155" s="9">
        <v>899.97</v>
      </c>
      <c r="O155" s="20" t="str">
        <f>TEXT(CustomerData[[#This Row],[Date]],"mmm")</f>
        <v>Sep</v>
      </c>
      <c r="P155" s="9">
        <f>YEAR(CustomerData[[#This Row],[Date]])</f>
        <v>2024</v>
      </c>
      <c r="Q155" s="10">
        <f t="shared" ca="1" si="4"/>
        <v>1580</v>
      </c>
      <c r="R155" s="11" t="str">
        <f t="shared" si="5"/>
        <v>Medium Value</v>
      </c>
    </row>
    <row r="156" spans="1:18" x14ac:dyDescent="0.35">
      <c r="A156" s="7" t="s">
        <v>310</v>
      </c>
      <c r="B156" s="8">
        <v>45547</v>
      </c>
      <c r="C156" s="9" t="s">
        <v>60</v>
      </c>
      <c r="D156" s="9" t="s">
        <v>61</v>
      </c>
      <c r="E156" s="9" t="s">
        <v>21</v>
      </c>
      <c r="F156" s="9" t="s">
        <v>22</v>
      </c>
      <c r="G156" s="9" t="s">
        <v>23</v>
      </c>
      <c r="H156" s="9">
        <v>5</v>
      </c>
      <c r="I156" s="9">
        <v>249.99</v>
      </c>
      <c r="J156" s="9" t="s">
        <v>24</v>
      </c>
      <c r="K156" s="9" t="s">
        <v>25</v>
      </c>
      <c r="L156" s="9" t="s">
        <v>32</v>
      </c>
      <c r="M156" s="8">
        <v>44579</v>
      </c>
      <c r="N156" s="9">
        <v>1249.95</v>
      </c>
      <c r="O156" s="20" t="str">
        <f>TEXT(CustomerData[[#This Row],[Date]],"mmm")</f>
        <v>Sep</v>
      </c>
      <c r="P156" s="9">
        <f>YEAR(CustomerData[[#This Row],[Date]])</f>
        <v>2024</v>
      </c>
      <c r="Q156" s="10">
        <f t="shared" ca="1" si="4"/>
        <v>1579</v>
      </c>
      <c r="R156" s="11" t="str">
        <f t="shared" si="5"/>
        <v>High Value</v>
      </c>
    </row>
    <row r="157" spans="1:18" x14ac:dyDescent="0.35">
      <c r="A157" s="7" t="s">
        <v>311</v>
      </c>
      <c r="B157" s="8">
        <v>45548</v>
      </c>
      <c r="C157" s="9" t="s">
        <v>29</v>
      </c>
      <c r="D157" s="9" t="s">
        <v>30</v>
      </c>
      <c r="E157" s="9" t="s">
        <v>57</v>
      </c>
      <c r="F157" s="9" t="s">
        <v>58</v>
      </c>
      <c r="G157" s="9" t="s">
        <v>23</v>
      </c>
      <c r="H157" s="9">
        <v>2</v>
      </c>
      <c r="I157" s="9">
        <v>149.99</v>
      </c>
      <c r="J157" s="9" t="s">
        <v>24</v>
      </c>
      <c r="K157" s="9" t="s">
        <v>40</v>
      </c>
      <c r="L157" s="9" t="s">
        <v>32</v>
      </c>
      <c r="M157" s="8">
        <v>44580</v>
      </c>
      <c r="N157" s="9">
        <v>299.98</v>
      </c>
      <c r="O157" s="20" t="str">
        <f>TEXT(CustomerData[[#This Row],[Date]],"mmm")</f>
        <v>Sep</v>
      </c>
      <c r="P157" s="9">
        <f>YEAR(CustomerData[[#This Row],[Date]])</f>
        <v>2024</v>
      </c>
      <c r="Q157" s="10">
        <f t="shared" ca="1" si="4"/>
        <v>1578</v>
      </c>
      <c r="R157" s="11" t="str">
        <f t="shared" si="5"/>
        <v>Low Value</v>
      </c>
    </row>
    <row r="158" spans="1:18" x14ac:dyDescent="0.35">
      <c r="A158" s="7" t="s">
        <v>312</v>
      </c>
      <c r="B158" s="8">
        <v>45549</v>
      </c>
      <c r="C158" s="9" t="s">
        <v>91</v>
      </c>
      <c r="D158" s="9" t="s">
        <v>92</v>
      </c>
      <c r="E158" s="9" t="s">
        <v>85</v>
      </c>
      <c r="F158" s="9" t="s">
        <v>86</v>
      </c>
      <c r="G158" s="9" t="s">
        <v>23</v>
      </c>
      <c r="H158" s="9">
        <v>5</v>
      </c>
      <c r="I158" s="9">
        <v>699.99</v>
      </c>
      <c r="J158" s="9" t="s">
        <v>62</v>
      </c>
      <c r="K158" s="9" t="s">
        <v>55</v>
      </c>
      <c r="L158" s="9" t="s">
        <v>41</v>
      </c>
      <c r="M158" s="8">
        <v>44581</v>
      </c>
      <c r="N158" s="9">
        <v>3499.95</v>
      </c>
      <c r="O158" s="20" t="str">
        <f>TEXT(CustomerData[[#This Row],[Date]],"mmm")</f>
        <v>Sep</v>
      </c>
      <c r="P158" s="9">
        <f>YEAR(CustomerData[[#This Row],[Date]])</f>
        <v>2024</v>
      </c>
      <c r="Q158" s="10">
        <f t="shared" ca="1" si="4"/>
        <v>1577</v>
      </c>
      <c r="R158" s="11" t="str">
        <f t="shared" si="5"/>
        <v>VIP Customer</v>
      </c>
    </row>
    <row r="159" spans="1:18" x14ac:dyDescent="0.35">
      <c r="A159" s="7" t="s">
        <v>313</v>
      </c>
      <c r="B159" s="8">
        <v>45550</v>
      </c>
      <c r="C159" s="9" t="s">
        <v>262</v>
      </c>
      <c r="D159" s="9" t="s">
        <v>263</v>
      </c>
      <c r="E159" s="9" t="s">
        <v>21</v>
      </c>
      <c r="F159" s="9" t="s">
        <v>22</v>
      </c>
      <c r="G159" s="9" t="s">
        <v>23</v>
      </c>
      <c r="H159" s="9">
        <v>4</v>
      </c>
      <c r="I159" s="9">
        <v>249.99</v>
      </c>
      <c r="J159" s="9" t="s">
        <v>39</v>
      </c>
      <c r="K159" s="9" t="s">
        <v>68</v>
      </c>
      <c r="L159" s="9" t="s">
        <v>32</v>
      </c>
      <c r="M159" s="8">
        <v>44582</v>
      </c>
      <c r="N159" s="9">
        <v>999.96</v>
      </c>
      <c r="O159" s="20" t="str">
        <f>TEXT(CustomerData[[#This Row],[Date]],"mmm")</f>
        <v>Sep</v>
      </c>
      <c r="P159" s="9">
        <f>YEAR(CustomerData[[#This Row],[Date]])</f>
        <v>2024</v>
      </c>
      <c r="Q159" s="10">
        <f t="shared" ca="1" si="4"/>
        <v>1576</v>
      </c>
      <c r="R159" s="11" t="str">
        <f t="shared" si="5"/>
        <v>Medium Value</v>
      </c>
    </row>
    <row r="160" spans="1:18" x14ac:dyDescent="0.35">
      <c r="A160" s="7" t="s">
        <v>314</v>
      </c>
      <c r="B160" s="8">
        <v>45551</v>
      </c>
      <c r="C160" s="9" t="s">
        <v>53</v>
      </c>
      <c r="D160" s="9" t="s">
        <v>54</v>
      </c>
      <c r="E160" s="9" t="s">
        <v>85</v>
      </c>
      <c r="F160" s="9" t="s">
        <v>86</v>
      </c>
      <c r="G160" s="9" t="s">
        <v>23</v>
      </c>
      <c r="H160" s="9">
        <v>4</v>
      </c>
      <c r="I160" s="9">
        <v>699.99</v>
      </c>
      <c r="J160" s="9" t="s">
        <v>31</v>
      </c>
      <c r="K160" s="9" t="s">
        <v>45</v>
      </c>
      <c r="L160" s="9" t="s">
        <v>32</v>
      </c>
      <c r="M160" s="8">
        <v>44583</v>
      </c>
      <c r="N160" s="9">
        <v>2799.96</v>
      </c>
      <c r="O160" s="20" t="str">
        <f>TEXT(CustomerData[[#This Row],[Date]],"mmm")</f>
        <v>Sep</v>
      </c>
      <c r="P160" s="9">
        <f>YEAR(CustomerData[[#This Row],[Date]])</f>
        <v>2024</v>
      </c>
      <c r="Q160" s="10">
        <f t="shared" ca="1" si="4"/>
        <v>1575</v>
      </c>
      <c r="R160" s="11" t="str">
        <f t="shared" si="5"/>
        <v>VIP Customer</v>
      </c>
    </row>
    <row r="161" spans="1:18" x14ac:dyDescent="0.35">
      <c r="A161" s="7" t="s">
        <v>315</v>
      </c>
      <c r="B161" s="8">
        <v>45552</v>
      </c>
      <c r="C161" s="9" t="s">
        <v>114</v>
      </c>
      <c r="D161" s="9" t="s">
        <v>115</v>
      </c>
      <c r="E161" s="9" t="s">
        <v>21</v>
      </c>
      <c r="F161" s="9" t="s">
        <v>22</v>
      </c>
      <c r="G161" s="9" t="s">
        <v>23</v>
      </c>
      <c r="H161" s="9">
        <v>2</v>
      </c>
      <c r="I161" s="9">
        <v>249.99</v>
      </c>
      <c r="J161" s="9" t="s">
        <v>31</v>
      </c>
      <c r="K161" s="9" t="s">
        <v>25</v>
      </c>
      <c r="L161" s="9" t="s">
        <v>32</v>
      </c>
      <c r="M161" s="8">
        <v>44584</v>
      </c>
      <c r="N161" s="9">
        <v>499.98</v>
      </c>
      <c r="O161" s="20" t="str">
        <f>TEXT(CustomerData[[#This Row],[Date]],"mmm")</f>
        <v>Sep</v>
      </c>
      <c r="P161" s="9">
        <f>YEAR(CustomerData[[#This Row],[Date]])</f>
        <v>2024</v>
      </c>
      <c r="Q161" s="10">
        <f t="shared" ca="1" si="4"/>
        <v>1574</v>
      </c>
      <c r="R161" s="11" t="str">
        <f t="shared" si="5"/>
        <v>Low Value</v>
      </c>
    </row>
    <row r="162" spans="1:18" x14ac:dyDescent="0.35">
      <c r="A162" s="7" t="s">
        <v>316</v>
      </c>
      <c r="B162" s="8">
        <v>45553</v>
      </c>
      <c r="C162" s="9" t="s">
        <v>317</v>
      </c>
      <c r="D162" s="9" t="s">
        <v>318</v>
      </c>
      <c r="E162" s="9" t="s">
        <v>36</v>
      </c>
      <c r="F162" s="9" t="s">
        <v>37</v>
      </c>
      <c r="G162" s="9" t="s">
        <v>38</v>
      </c>
      <c r="H162" s="9">
        <v>3</v>
      </c>
      <c r="I162" s="9">
        <v>59.99</v>
      </c>
      <c r="J162" s="9" t="s">
        <v>24</v>
      </c>
      <c r="K162" s="9" t="s">
        <v>25</v>
      </c>
      <c r="L162" s="9" t="s">
        <v>32</v>
      </c>
      <c r="M162" s="8">
        <v>44585</v>
      </c>
      <c r="N162" s="9">
        <v>179.97</v>
      </c>
      <c r="O162" s="20" t="str">
        <f>TEXT(CustomerData[[#This Row],[Date]],"mmm")</f>
        <v>Sep</v>
      </c>
      <c r="P162" s="9">
        <f>YEAR(CustomerData[[#This Row],[Date]])</f>
        <v>2024</v>
      </c>
      <c r="Q162" s="10">
        <f t="shared" ca="1" si="4"/>
        <v>1573</v>
      </c>
      <c r="R162" s="11" t="str">
        <f t="shared" si="5"/>
        <v>Low Value</v>
      </c>
    </row>
    <row r="163" spans="1:18" x14ac:dyDescent="0.35">
      <c r="A163" s="7" t="s">
        <v>319</v>
      </c>
      <c r="B163" s="8">
        <v>45554</v>
      </c>
      <c r="C163" s="9" t="s">
        <v>147</v>
      </c>
      <c r="D163" s="9" t="s">
        <v>148</v>
      </c>
      <c r="E163" s="9" t="s">
        <v>120</v>
      </c>
      <c r="F163" s="9" t="s">
        <v>121</v>
      </c>
      <c r="G163" s="9" t="s">
        <v>38</v>
      </c>
      <c r="H163" s="9">
        <v>4</v>
      </c>
      <c r="I163" s="9">
        <v>79.989999999999995</v>
      </c>
      <c r="J163" s="9" t="s">
        <v>62</v>
      </c>
      <c r="K163" s="9" t="s">
        <v>68</v>
      </c>
      <c r="L163" s="9" t="s">
        <v>41</v>
      </c>
      <c r="M163" s="8">
        <v>44586</v>
      </c>
      <c r="N163" s="9">
        <v>319.95999999999998</v>
      </c>
      <c r="O163" s="20" t="str">
        <f>TEXT(CustomerData[[#This Row],[Date]],"mmm")</f>
        <v>Sep</v>
      </c>
      <c r="P163" s="9">
        <f>YEAR(CustomerData[[#This Row],[Date]])</f>
        <v>2024</v>
      </c>
      <c r="Q163" s="10">
        <f t="shared" ca="1" si="4"/>
        <v>1572</v>
      </c>
      <c r="R163" s="11" t="str">
        <f t="shared" si="5"/>
        <v>Low Value</v>
      </c>
    </row>
    <row r="164" spans="1:18" x14ac:dyDescent="0.35">
      <c r="A164" s="7" t="s">
        <v>320</v>
      </c>
      <c r="B164" s="8">
        <v>45555</v>
      </c>
      <c r="C164" s="9" t="s">
        <v>126</v>
      </c>
      <c r="D164" s="9" t="s">
        <v>127</v>
      </c>
      <c r="E164" s="9" t="s">
        <v>120</v>
      </c>
      <c r="F164" s="9" t="s">
        <v>121</v>
      </c>
      <c r="G164" s="9" t="s">
        <v>38</v>
      </c>
      <c r="H164" s="9">
        <v>3</v>
      </c>
      <c r="I164" s="9">
        <v>79.989999999999995</v>
      </c>
      <c r="J164" s="9" t="s">
        <v>62</v>
      </c>
      <c r="K164" s="9" t="s">
        <v>68</v>
      </c>
      <c r="L164" s="9" t="s">
        <v>41</v>
      </c>
      <c r="M164" s="8">
        <v>44587</v>
      </c>
      <c r="N164" s="9">
        <v>239.97</v>
      </c>
      <c r="O164" s="20" t="str">
        <f>TEXT(CustomerData[[#This Row],[Date]],"mmm")</f>
        <v>Sep</v>
      </c>
      <c r="P164" s="9">
        <f>YEAR(CustomerData[[#This Row],[Date]])</f>
        <v>2024</v>
      </c>
      <c r="Q164" s="10">
        <f t="shared" ca="1" si="4"/>
        <v>1571</v>
      </c>
      <c r="R164" s="11" t="str">
        <f t="shared" si="5"/>
        <v>Low Value</v>
      </c>
    </row>
    <row r="165" spans="1:18" x14ac:dyDescent="0.35">
      <c r="A165" s="7" t="s">
        <v>321</v>
      </c>
      <c r="B165" s="8">
        <v>45556</v>
      </c>
      <c r="C165" s="9" t="s">
        <v>77</v>
      </c>
      <c r="D165" s="9" t="s">
        <v>78</v>
      </c>
      <c r="E165" s="9" t="s">
        <v>66</v>
      </c>
      <c r="F165" s="9" t="s">
        <v>67</v>
      </c>
      <c r="G165" s="9" t="s">
        <v>23</v>
      </c>
      <c r="H165" s="9">
        <v>2</v>
      </c>
      <c r="I165" s="9">
        <v>899.99</v>
      </c>
      <c r="J165" s="9" t="s">
        <v>24</v>
      </c>
      <c r="K165" s="9" t="s">
        <v>45</v>
      </c>
      <c r="L165" s="9" t="s">
        <v>26</v>
      </c>
      <c r="M165" s="8">
        <v>44588</v>
      </c>
      <c r="N165" s="9">
        <v>1799.98</v>
      </c>
      <c r="O165" s="20" t="str">
        <f>TEXT(CustomerData[[#This Row],[Date]],"mmm")</f>
        <v>Sep</v>
      </c>
      <c r="P165" s="9">
        <f>YEAR(CustomerData[[#This Row],[Date]])</f>
        <v>2024</v>
      </c>
      <c r="Q165" s="10">
        <f t="shared" ca="1" si="4"/>
        <v>1570</v>
      </c>
      <c r="R165" s="11" t="str">
        <f t="shared" si="5"/>
        <v>High Value</v>
      </c>
    </row>
    <row r="166" spans="1:18" x14ac:dyDescent="0.35">
      <c r="A166" s="7" t="s">
        <v>322</v>
      </c>
      <c r="B166" s="8">
        <v>45557</v>
      </c>
      <c r="C166" s="9" t="s">
        <v>190</v>
      </c>
      <c r="D166" s="9" t="s">
        <v>191</v>
      </c>
      <c r="E166" s="9" t="s">
        <v>49</v>
      </c>
      <c r="F166" s="9" t="s">
        <v>50</v>
      </c>
      <c r="G166" s="9" t="s">
        <v>51</v>
      </c>
      <c r="H166" s="9">
        <v>1</v>
      </c>
      <c r="I166" s="9">
        <v>149.99</v>
      </c>
      <c r="J166" s="9" t="s">
        <v>62</v>
      </c>
      <c r="K166" s="9" t="s">
        <v>68</v>
      </c>
      <c r="L166" s="9" t="s">
        <v>41</v>
      </c>
      <c r="M166" s="8">
        <v>44589</v>
      </c>
      <c r="N166" s="9">
        <v>149.99</v>
      </c>
      <c r="O166" s="20" t="str">
        <f>TEXT(CustomerData[[#This Row],[Date]],"mmm")</f>
        <v>Sep</v>
      </c>
      <c r="P166" s="9">
        <f>YEAR(CustomerData[[#This Row],[Date]])</f>
        <v>2024</v>
      </c>
      <c r="Q166" s="10">
        <f t="shared" ca="1" si="4"/>
        <v>1569</v>
      </c>
      <c r="R166" s="11" t="str">
        <f t="shared" si="5"/>
        <v>Low Value</v>
      </c>
    </row>
    <row r="167" spans="1:18" x14ac:dyDescent="0.35">
      <c r="A167" s="7" t="s">
        <v>323</v>
      </c>
      <c r="B167" s="8">
        <v>45558</v>
      </c>
      <c r="C167" s="9" t="s">
        <v>144</v>
      </c>
      <c r="D167" s="9" t="s">
        <v>145</v>
      </c>
      <c r="E167" s="9" t="s">
        <v>111</v>
      </c>
      <c r="F167" s="9" t="s">
        <v>112</v>
      </c>
      <c r="G167" s="9" t="s">
        <v>51</v>
      </c>
      <c r="H167" s="9">
        <v>2</v>
      </c>
      <c r="I167" s="9">
        <v>299.99</v>
      </c>
      <c r="J167" s="9" t="s">
        <v>24</v>
      </c>
      <c r="K167" s="9" t="s">
        <v>68</v>
      </c>
      <c r="L167" s="9" t="s">
        <v>32</v>
      </c>
      <c r="M167" s="8">
        <v>44590</v>
      </c>
      <c r="N167" s="9">
        <v>599.98</v>
      </c>
      <c r="O167" s="20" t="str">
        <f>TEXT(CustomerData[[#This Row],[Date]],"mmm")</f>
        <v>Sep</v>
      </c>
      <c r="P167" s="9">
        <f>YEAR(CustomerData[[#This Row],[Date]])</f>
        <v>2024</v>
      </c>
      <c r="Q167" s="10">
        <f t="shared" ca="1" si="4"/>
        <v>1568</v>
      </c>
      <c r="R167" s="11" t="str">
        <f t="shared" si="5"/>
        <v>Medium Value</v>
      </c>
    </row>
    <row r="168" spans="1:18" x14ac:dyDescent="0.35">
      <c r="A168" s="7" t="s">
        <v>324</v>
      </c>
      <c r="B168" s="8">
        <v>45559</v>
      </c>
      <c r="C168" s="9" t="s">
        <v>138</v>
      </c>
      <c r="D168" s="9" t="s">
        <v>139</v>
      </c>
      <c r="E168" s="9" t="s">
        <v>36</v>
      </c>
      <c r="F168" s="9" t="s">
        <v>37</v>
      </c>
      <c r="G168" s="9" t="s">
        <v>38</v>
      </c>
      <c r="H168" s="9">
        <v>2</v>
      </c>
      <c r="I168" s="9">
        <v>59.99</v>
      </c>
      <c r="J168" s="9" t="s">
        <v>24</v>
      </c>
      <c r="K168" s="9" t="s">
        <v>55</v>
      </c>
      <c r="L168" s="9" t="s">
        <v>26</v>
      </c>
      <c r="M168" s="8">
        <v>44591</v>
      </c>
      <c r="N168" s="9">
        <v>119.98</v>
      </c>
      <c r="O168" s="20" t="str">
        <f>TEXT(CustomerData[[#This Row],[Date]],"mmm")</f>
        <v>Sep</v>
      </c>
      <c r="P168" s="9">
        <f>YEAR(CustomerData[[#This Row],[Date]])</f>
        <v>2024</v>
      </c>
      <c r="Q168" s="10">
        <f t="shared" ca="1" si="4"/>
        <v>1567</v>
      </c>
      <c r="R168" s="11" t="str">
        <f t="shared" si="5"/>
        <v>Low Value</v>
      </c>
    </row>
    <row r="169" spans="1:18" x14ac:dyDescent="0.35">
      <c r="A169" s="7" t="s">
        <v>325</v>
      </c>
      <c r="B169" s="8">
        <v>45560</v>
      </c>
      <c r="C169" s="9" t="s">
        <v>190</v>
      </c>
      <c r="D169" s="9" t="s">
        <v>191</v>
      </c>
      <c r="E169" s="9" t="s">
        <v>123</v>
      </c>
      <c r="F169" s="9" t="s">
        <v>124</v>
      </c>
      <c r="G169" s="9" t="s">
        <v>23</v>
      </c>
      <c r="H169" s="9">
        <v>1</v>
      </c>
      <c r="I169" s="9">
        <v>89.99</v>
      </c>
      <c r="J169" s="9" t="s">
        <v>62</v>
      </c>
      <c r="K169" s="9" t="s">
        <v>25</v>
      </c>
      <c r="L169" s="9" t="s">
        <v>41</v>
      </c>
      <c r="M169" s="8">
        <v>44592</v>
      </c>
      <c r="N169" s="9">
        <v>89.99</v>
      </c>
      <c r="O169" s="20" t="str">
        <f>TEXT(CustomerData[[#This Row],[Date]],"mmm")</f>
        <v>Sep</v>
      </c>
      <c r="P169" s="9">
        <f>YEAR(CustomerData[[#This Row],[Date]])</f>
        <v>2024</v>
      </c>
      <c r="Q169" s="10">
        <f t="shared" ca="1" si="4"/>
        <v>1566</v>
      </c>
      <c r="R169" s="11" t="str">
        <f t="shared" si="5"/>
        <v>Low Value</v>
      </c>
    </row>
    <row r="170" spans="1:18" x14ac:dyDescent="0.35">
      <c r="A170" s="7" t="s">
        <v>326</v>
      </c>
      <c r="B170" s="8">
        <v>45561</v>
      </c>
      <c r="C170" s="9" t="s">
        <v>153</v>
      </c>
      <c r="D170" s="9" t="s">
        <v>154</v>
      </c>
      <c r="E170" s="9" t="s">
        <v>66</v>
      </c>
      <c r="F170" s="9" t="s">
        <v>67</v>
      </c>
      <c r="G170" s="9" t="s">
        <v>23</v>
      </c>
      <c r="H170" s="9">
        <v>5</v>
      </c>
      <c r="I170" s="9">
        <v>899.99</v>
      </c>
      <c r="J170" s="9" t="s">
        <v>62</v>
      </c>
      <c r="K170" s="9" t="s">
        <v>68</v>
      </c>
      <c r="L170" s="9" t="s">
        <v>41</v>
      </c>
      <c r="M170" s="8">
        <v>44593</v>
      </c>
      <c r="N170" s="9">
        <v>4499.95</v>
      </c>
      <c r="O170" s="20" t="str">
        <f>TEXT(CustomerData[[#This Row],[Date]],"mmm")</f>
        <v>Sep</v>
      </c>
      <c r="P170" s="9">
        <f>YEAR(CustomerData[[#This Row],[Date]])</f>
        <v>2024</v>
      </c>
      <c r="Q170" s="10">
        <f t="shared" ca="1" si="4"/>
        <v>1565</v>
      </c>
      <c r="R170" s="11" t="str">
        <f t="shared" si="5"/>
        <v>VIP Customer</v>
      </c>
    </row>
    <row r="171" spans="1:18" x14ac:dyDescent="0.35">
      <c r="A171" s="7" t="s">
        <v>327</v>
      </c>
      <c r="B171" s="8">
        <v>45562</v>
      </c>
      <c r="C171" s="9" t="s">
        <v>47</v>
      </c>
      <c r="D171" s="9" t="s">
        <v>48</v>
      </c>
      <c r="E171" s="9" t="s">
        <v>49</v>
      </c>
      <c r="F171" s="9" t="s">
        <v>50</v>
      </c>
      <c r="G171" s="9" t="s">
        <v>51</v>
      </c>
      <c r="H171" s="9">
        <v>2</v>
      </c>
      <c r="I171" s="9">
        <v>149.99</v>
      </c>
      <c r="J171" s="9" t="s">
        <v>24</v>
      </c>
      <c r="K171" s="9" t="s">
        <v>40</v>
      </c>
      <c r="L171" s="9" t="s">
        <v>26</v>
      </c>
      <c r="M171" s="8">
        <v>44594</v>
      </c>
      <c r="N171" s="9">
        <v>299.98</v>
      </c>
      <c r="O171" s="20" t="str">
        <f>TEXT(CustomerData[[#This Row],[Date]],"mmm")</f>
        <v>Sep</v>
      </c>
      <c r="P171" s="9">
        <f>YEAR(CustomerData[[#This Row],[Date]])</f>
        <v>2024</v>
      </c>
      <c r="Q171" s="10">
        <f t="shared" ca="1" si="4"/>
        <v>1564</v>
      </c>
      <c r="R171" s="11" t="str">
        <f t="shared" si="5"/>
        <v>Low Value</v>
      </c>
    </row>
    <row r="172" spans="1:18" x14ac:dyDescent="0.35">
      <c r="A172" s="7" t="s">
        <v>328</v>
      </c>
      <c r="B172" s="8">
        <v>45563</v>
      </c>
      <c r="C172" s="9" t="s">
        <v>118</v>
      </c>
      <c r="D172" s="9" t="s">
        <v>119</v>
      </c>
      <c r="E172" s="9" t="s">
        <v>57</v>
      </c>
      <c r="F172" s="9" t="s">
        <v>58</v>
      </c>
      <c r="G172" s="9" t="s">
        <v>23</v>
      </c>
      <c r="H172" s="9">
        <v>2</v>
      </c>
      <c r="I172" s="9">
        <v>149.99</v>
      </c>
      <c r="J172" s="9" t="s">
        <v>62</v>
      </c>
      <c r="K172" s="9" t="s">
        <v>55</v>
      </c>
      <c r="L172" s="9" t="s">
        <v>32</v>
      </c>
      <c r="M172" s="8">
        <v>44595</v>
      </c>
      <c r="N172" s="9">
        <v>299.98</v>
      </c>
      <c r="O172" s="20" t="str">
        <f>TEXT(CustomerData[[#This Row],[Date]],"mmm")</f>
        <v>Sep</v>
      </c>
      <c r="P172" s="9">
        <f>YEAR(CustomerData[[#This Row],[Date]])</f>
        <v>2024</v>
      </c>
      <c r="Q172" s="10">
        <f t="shared" ca="1" si="4"/>
        <v>1563</v>
      </c>
      <c r="R172" s="11" t="str">
        <f t="shared" si="5"/>
        <v>Low Value</v>
      </c>
    </row>
    <row r="173" spans="1:18" x14ac:dyDescent="0.35">
      <c r="A173" s="7" t="s">
        <v>329</v>
      </c>
      <c r="B173" s="8">
        <v>45564</v>
      </c>
      <c r="C173" s="9" t="s">
        <v>190</v>
      </c>
      <c r="D173" s="9" t="s">
        <v>191</v>
      </c>
      <c r="E173" s="9" t="s">
        <v>49</v>
      </c>
      <c r="F173" s="9" t="s">
        <v>50</v>
      </c>
      <c r="G173" s="9" t="s">
        <v>51</v>
      </c>
      <c r="H173" s="9">
        <v>3</v>
      </c>
      <c r="I173" s="9">
        <v>149.99</v>
      </c>
      <c r="J173" s="9" t="s">
        <v>62</v>
      </c>
      <c r="K173" s="9" t="s">
        <v>45</v>
      </c>
      <c r="L173" s="9" t="s">
        <v>41</v>
      </c>
      <c r="M173" s="8">
        <v>44596</v>
      </c>
      <c r="N173" s="9">
        <v>449.97</v>
      </c>
      <c r="O173" s="20" t="str">
        <f>TEXT(CustomerData[[#This Row],[Date]],"mmm")</f>
        <v>Sep</v>
      </c>
      <c r="P173" s="9">
        <f>YEAR(CustomerData[[#This Row],[Date]])</f>
        <v>2024</v>
      </c>
      <c r="Q173" s="10">
        <f t="shared" ca="1" si="4"/>
        <v>1562</v>
      </c>
      <c r="R173" s="11" t="str">
        <f t="shared" si="5"/>
        <v>Low Value</v>
      </c>
    </row>
    <row r="174" spans="1:18" x14ac:dyDescent="0.35">
      <c r="A174" s="7" t="s">
        <v>330</v>
      </c>
      <c r="B174" s="8">
        <v>45565</v>
      </c>
      <c r="C174" s="9" t="s">
        <v>34</v>
      </c>
      <c r="D174" s="9" t="s">
        <v>35</v>
      </c>
      <c r="E174" s="9" t="s">
        <v>111</v>
      </c>
      <c r="F174" s="9" t="s">
        <v>112</v>
      </c>
      <c r="G174" s="9" t="s">
        <v>51</v>
      </c>
      <c r="H174" s="9">
        <v>2</v>
      </c>
      <c r="I174" s="9">
        <v>299.99</v>
      </c>
      <c r="J174" s="9" t="s">
        <v>39</v>
      </c>
      <c r="K174" s="9" t="s">
        <v>40</v>
      </c>
      <c r="L174" s="9" t="s">
        <v>26</v>
      </c>
      <c r="M174" s="8">
        <v>44597</v>
      </c>
      <c r="N174" s="9">
        <v>599.98</v>
      </c>
      <c r="O174" s="20" t="str">
        <f>TEXT(CustomerData[[#This Row],[Date]],"mmm")</f>
        <v>Sep</v>
      </c>
      <c r="P174" s="9">
        <f>YEAR(CustomerData[[#This Row],[Date]])</f>
        <v>2024</v>
      </c>
      <c r="Q174" s="10">
        <f t="shared" ca="1" si="4"/>
        <v>1561</v>
      </c>
      <c r="R174" s="11" t="str">
        <f t="shared" si="5"/>
        <v>Medium Value</v>
      </c>
    </row>
    <row r="175" spans="1:18" x14ac:dyDescent="0.35">
      <c r="A175" s="7" t="s">
        <v>331</v>
      </c>
      <c r="B175" s="8">
        <v>45566</v>
      </c>
      <c r="C175" s="9" t="s">
        <v>47</v>
      </c>
      <c r="D175" s="9" t="s">
        <v>48</v>
      </c>
      <c r="E175" s="9" t="s">
        <v>111</v>
      </c>
      <c r="F175" s="9" t="s">
        <v>112</v>
      </c>
      <c r="G175" s="9" t="s">
        <v>51</v>
      </c>
      <c r="H175" s="9">
        <v>2</v>
      </c>
      <c r="I175" s="9">
        <v>299.99</v>
      </c>
      <c r="J175" s="9" t="s">
        <v>24</v>
      </c>
      <c r="K175" s="9" t="s">
        <v>55</v>
      </c>
      <c r="L175" s="9" t="s">
        <v>26</v>
      </c>
      <c r="M175" s="8">
        <v>44598</v>
      </c>
      <c r="N175" s="9">
        <v>599.98</v>
      </c>
      <c r="O175" s="20" t="str">
        <f>TEXT(CustomerData[[#This Row],[Date]],"mmm")</f>
        <v>Oct</v>
      </c>
      <c r="P175" s="9">
        <f>YEAR(CustomerData[[#This Row],[Date]])</f>
        <v>2024</v>
      </c>
      <c r="Q175" s="10">
        <f t="shared" ca="1" si="4"/>
        <v>1560</v>
      </c>
      <c r="R175" s="11" t="str">
        <f t="shared" si="5"/>
        <v>Medium Value</v>
      </c>
    </row>
    <row r="176" spans="1:18" x14ac:dyDescent="0.35">
      <c r="A176" s="7" t="s">
        <v>332</v>
      </c>
      <c r="B176" s="8">
        <v>45567</v>
      </c>
      <c r="C176" s="9" t="s">
        <v>126</v>
      </c>
      <c r="D176" s="9" t="s">
        <v>127</v>
      </c>
      <c r="E176" s="9" t="s">
        <v>132</v>
      </c>
      <c r="F176" s="9" t="s">
        <v>133</v>
      </c>
      <c r="G176" s="9" t="s">
        <v>51</v>
      </c>
      <c r="H176" s="9">
        <v>4</v>
      </c>
      <c r="I176" s="9">
        <v>199.99</v>
      </c>
      <c r="J176" s="9" t="s">
        <v>31</v>
      </c>
      <c r="K176" s="9" t="s">
        <v>25</v>
      </c>
      <c r="L176" s="9" t="s">
        <v>26</v>
      </c>
      <c r="M176" s="8">
        <v>44599</v>
      </c>
      <c r="N176" s="9">
        <v>799.96</v>
      </c>
      <c r="O176" s="20" t="str">
        <f>TEXT(CustomerData[[#This Row],[Date]],"mmm")</f>
        <v>Oct</v>
      </c>
      <c r="P176" s="9">
        <f>YEAR(CustomerData[[#This Row],[Date]])</f>
        <v>2024</v>
      </c>
      <c r="Q176" s="10">
        <f t="shared" ca="1" si="4"/>
        <v>1559</v>
      </c>
      <c r="R176" s="11" t="str">
        <f t="shared" si="5"/>
        <v>Medium Value</v>
      </c>
    </row>
    <row r="177" spans="1:18" x14ac:dyDescent="0.35">
      <c r="A177" s="7" t="s">
        <v>333</v>
      </c>
      <c r="B177" s="8">
        <v>45568</v>
      </c>
      <c r="C177" s="9" t="s">
        <v>64</v>
      </c>
      <c r="D177" s="9" t="s">
        <v>65</v>
      </c>
      <c r="E177" s="9" t="s">
        <v>123</v>
      </c>
      <c r="F177" s="9" t="s">
        <v>124</v>
      </c>
      <c r="G177" s="9" t="s">
        <v>23</v>
      </c>
      <c r="H177" s="9">
        <v>1</v>
      </c>
      <c r="I177" s="9">
        <v>89.99</v>
      </c>
      <c r="J177" s="9" t="s">
        <v>31</v>
      </c>
      <c r="K177" s="9" t="s">
        <v>40</v>
      </c>
      <c r="L177" s="9" t="s">
        <v>32</v>
      </c>
      <c r="M177" s="8">
        <v>44600</v>
      </c>
      <c r="N177" s="9">
        <v>89.99</v>
      </c>
      <c r="O177" s="20" t="str">
        <f>TEXT(CustomerData[[#This Row],[Date]],"mmm")</f>
        <v>Oct</v>
      </c>
      <c r="P177" s="9">
        <f>YEAR(CustomerData[[#This Row],[Date]])</f>
        <v>2024</v>
      </c>
      <c r="Q177" s="10">
        <f t="shared" ca="1" si="4"/>
        <v>1558</v>
      </c>
      <c r="R177" s="11" t="str">
        <f t="shared" si="5"/>
        <v>Low Value</v>
      </c>
    </row>
    <row r="178" spans="1:18" x14ac:dyDescent="0.35">
      <c r="A178" s="7" t="s">
        <v>334</v>
      </c>
      <c r="B178" s="8">
        <v>45569</v>
      </c>
      <c r="C178" s="9" t="s">
        <v>114</v>
      </c>
      <c r="D178" s="9" t="s">
        <v>115</v>
      </c>
      <c r="E178" s="9" t="s">
        <v>49</v>
      </c>
      <c r="F178" s="9" t="s">
        <v>50</v>
      </c>
      <c r="G178" s="9" t="s">
        <v>51</v>
      </c>
      <c r="H178" s="9">
        <v>5</v>
      </c>
      <c r="I178" s="9">
        <v>149.99</v>
      </c>
      <c r="J178" s="9" t="s">
        <v>24</v>
      </c>
      <c r="K178" s="9" t="s">
        <v>25</v>
      </c>
      <c r="L178" s="9" t="s">
        <v>32</v>
      </c>
      <c r="M178" s="8">
        <v>44601</v>
      </c>
      <c r="N178" s="9">
        <v>749.95</v>
      </c>
      <c r="O178" s="20" t="str">
        <f>TEXT(CustomerData[[#This Row],[Date]],"mmm")</f>
        <v>Oct</v>
      </c>
      <c r="P178" s="9">
        <f>YEAR(CustomerData[[#This Row],[Date]])</f>
        <v>2024</v>
      </c>
      <c r="Q178" s="10">
        <f t="shared" ca="1" si="4"/>
        <v>1557</v>
      </c>
      <c r="R178" s="11" t="str">
        <f t="shared" si="5"/>
        <v>Medium Value</v>
      </c>
    </row>
    <row r="179" spans="1:18" x14ac:dyDescent="0.35">
      <c r="A179" s="7" t="s">
        <v>335</v>
      </c>
      <c r="B179" s="8">
        <v>45570</v>
      </c>
      <c r="C179" s="9" t="s">
        <v>91</v>
      </c>
      <c r="D179" s="9" t="s">
        <v>92</v>
      </c>
      <c r="E179" s="9" t="s">
        <v>66</v>
      </c>
      <c r="F179" s="9" t="s">
        <v>67</v>
      </c>
      <c r="G179" s="9" t="s">
        <v>23</v>
      </c>
      <c r="H179" s="9">
        <v>1</v>
      </c>
      <c r="I179" s="9">
        <v>899.99</v>
      </c>
      <c r="J179" s="9" t="s">
        <v>39</v>
      </c>
      <c r="K179" s="9" t="s">
        <v>45</v>
      </c>
      <c r="L179" s="9" t="s">
        <v>32</v>
      </c>
      <c r="M179" s="8">
        <v>44602</v>
      </c>
      <c r="N179" s="9">
        <v>899.99</v>
      </c>
      <c r="O179" s="20" t="str">
        <f>TEXT(CustomerData[[#This Row],[Date]],"mmm")</f>
        <v>Oct</v>
      </c>
      <c r="P179" s="9">
        <f>YEAR(CustomerData[[#This Row],[Date]])</f>
        <v>2024</v>
      </c>
      <c r="Q179" s="10">
        <f t="shared" ca="1" si="4"/>
        <v>1556</v>
      </c>
      <c r="R179" s="11" t="str">
        <f t="shared" si="5"/>
        <v>Medium Value</v>
      </c>
    </row>
    <row r="180" spans="1:18" x14ac:dyDescent="0.35">
      <c r="A180" s="7" t="s">
        <v>336</v>
      </c>
      <c r="B180" s="8">
        <v>45571</v>
      </c>
      <c r="C180" s="9" t="s">
        <v>153</v>
      </c>
      <c r="D180" s="9" t="s">
        <v>154</v>
      </c>
      <c r="E180" s="9" t="s">
        <v>123</v>
      </c>
      <c r="F180" s="9" t="s">
        <v>124</v>
      </c>
      <c r="G180" s="9" t="s">
        <v>23</v>
      </c>
      <c r="H180" s="9">
        <v>2</v>
      </c>
      <c r="I180" s="9">
        <v>89.99</v>
      </c>
      <c r="J180" s="9" t="s">
        <v>31</v>
      </c>
      <c r="K180" s="9" t="s">
        <v>40</v>
      </c>
      <c r="L180" s="9" t="s">
        <v>32</v>
      </c>
      <c r="M180" s="8">
        <v>44603</v>
      </c>
      <c r="N180" s="9">
        <v>179.98</v>
      </c>
      <c r="O180" s="20" t="str">
        <f>TEXT(CustomerData[[#This Row],[Date]],"mmm")</f>
        <v>Oct</v>
      </c>
      <c r="P180" s="9">
        <f>YEAR(CustomerData[[#This Row],[Date]])</f>
        <v>2024</v>
      </c>
      <c r="Q180" s="10">
        <f t="shared" ca="1" si="4"/>
        <v>1555</v>
      </c>
      <c r="R180" s="11" t="str">
        <f t="shared" si="5"/>
        <v>Low Value</v>
      </c>
    </row>
    <row r="181" spans="1:18" x14ac:dyDescent="0.35">
      <c r="A181" s="7" t="s">
        <v>337</v>
      </c>
      <c r="B181" s="8">
        <v>45572</v>
      </c>
      <c r="C181" s="9" t="s">
        <v>338</v>
      </c>
      <c r="D181" s="9" t="s">
        <v>339</v>
      </c>
      <c r="E181" s="9" t="s">
        <v>66</v>
      </c>
      <c r="F181" s="9" t="s">
        <v>67</v>
      </c>
      <c r="G181" s="9" t="s">
        <v>23</v>
      </c>
      <c r="H181" s="9">
        <v>1</v>
      </c>
      <c r="I181" s="9">
        <v>899.99</v>
      </c>
      <c r="J181" s="9" t="s">
        <v>39</v>
      </c>
      <c r="K181" s="9" t="s">
        <v>45</v>
      </c>
      <c r="L181" s="9" t="s">
        <v>41</v>
      </c>
      <c r="M181" s="8">
        <v>44604</v>
      </c>
      <c r="N181" s="9">
        <v>899.99</v>
      </c>
      <c r="O181" s="20" t="str">
        <f>TEXT(CustomerData[[#This Row],[Date]],"mmm")</f>
        <v>Oct</v>
      </c>
      <c r="P181" s="9">
        <f>YEAR(CustomerData[[#This Row],[Date]])</f>
        <v>2024</v>
      </c>
      <c r="Q181" s="10">
        <f t="shared" ca="1" si="4"/>
        <v>1554</v>
      </c>
      <c r="R181" s="11" t="str">
        <f t="shared" si="5"/>
        <v>Medium Value</v>
      </c>
    </row>
    <row r="182" spans="1:18" x14ac:dyDescent="0.35">
      <c r="A182" s="7" t="s">
        <v>340</v>
      </c>
      <c r="B182" s="8">
        <v>45573</v>
      </c>
      <c r="C182" s="9" t="s">
        <v>135</v>
      </c>
      <c r="D182" s="9" t="s">
        <v>136</v>
      </c>
      <c r="E182" s="9" t="s">
        <v>57</v>
      </c>
      <c r="F182" s="9" t="s">
        <v>58</v>
      </c>
      <c r="G182" s="9" t="s">
        <v>23</v>
      </c>
      <c r="H182" s="9">
        <v>5</v>
      </c>
      <c r="I182" s="9">
        <v>149.99</v>
      </c>
      <c r="J182" s="9" t="s">
        <v>39</v>
      </c>
      <c r="K182" s="9" t="s">
        <v>68</v>
      </c>
      <c r="L182" s="9" t="s">
        <v>32</v>
      </c>
      <c r="M182" s="8">
        <v>44605</v>
      </c>
      <c r="N182" s="9">
        <v>749.95</v>
      </c>
      <c r="O182" s="20" t="str">
        <f>TEXT(CustomerData[[#This Row],[Date]],"mmm")</f>
        <v>Oct</v>
      </c>
      <c r="P182" s="9">
        <f>YEAR(CustomerData[[#This Row],[Date]])</f>
        <v>2024</v>
      </c>
      <c r="Q182" s="10">
        <f t="shared" ca="1" si="4"/>
        <v>1553</v>
      </c>
      <c r="R182" s="11" t="str">
        <f t="shared" si="5"/>
        <v>Medium Value</v>
      </c>
    </row>
    <row r="183" spans="1:18" x14ac:dyDescent="0.35">
      <c r="A183" s="7" t="s">
        <v>341</v>
      </c>
      <c r="B183" s="8">
        <v>45574</v>
      </c>
      <c r="C183" s="9" t="s">
        <v>47</v>
      </c>
      <c r="D183" s="9" t="s">
        <v>48</v>
      </c>
      <c r="E183" s="9" t="s">
        <v>111</v>
      </c>
      <c r="F183" s="9" t="s">
        <v>112</v>
      </c>
      <c r="G183" s="9" t="s">
        <v>51</v>
      </c>
      <c r="H183" s="9">
        <v>3</v>
      </c>
      <c r="I183" s="9">
        <v>299.99</v>
      </c>
      <c r="J183" s="9" t="s">
        <v>24</v>
      </c>
      <c r="K183" s="9" t="s">
        <v>40</v>
      </c>
      <c r="L183" s="9" t="s">
        <v>41</v>
      </c>
      <c r="M183" s="8">
        <v>44606</v>
      </c>
      <c r="N183" s="9">
        <v>899.97</v>
      </c>
      <c r="O183" s="20" t="str">
        <f>TEXT(CustomerData[[#This Row],[Date]],"mmm")</f>
        <v>Oct</v>
      </c>
      <c r="P183" s="9">
        <f>YEAR(CustomerData[[#This Row],[Date]])</f>
        <v>2024</v>
      </c>
      <c r="Q183" s="10">
        <f t="shared" ca="1" si="4"/>
        <v>1552</v>
      </c>
      <c r="R183" s="11" t="str">
        <f t="shared" si="5"/>
        <v>Medium Value</v>
      </c>
    </row>
    <row r="184" spans="1:18" x14ac:dyDescent="0.35">
      <c r="A184" s="7" t="s">
        <v>342</v>
      </c>
      <c r="B184" s="8">
        <v>45575</v>
      </c>
      <c r="C184" s="9" t="s">
        <v>70</v>
      </c>
      <c r="D184" s="9" t="s">
        <v>71</v>
      </c>
      <c r="E184" s="9" t="s">
        <v>85</v>
      </c>
      <c r="F184" s="9" t="s">
        <v>86</v>
      </c>
      <c r="G184" s="9" t="s">
        <v>23</v>
      </c>
      <c r="H184" s="9">
        <v>3</v>
      </c>
      <c r="I184" s="9">
        <v>699.99</v>
      </c>
      <c r="J184" s="9" t="s">
        <v>31</v>
      </c>
      <c r="K184" s="9" t="s">
        <v>25</v>
      </c>
      <c r="L184" s="9" t="s">
        <v>32</v>
      </c>
      <c r="M184" s="8">
        <v>44607</v>
      </c>
      <c r="N184" s="9">
        <v>2099.9699999999998</v>
      </c>
      <c r="O184" s="20" t="str">
        <f>TEXT(CustomerData[[#This Row],[Date]],"mmm")</f>
        <v>Oct</v>
      </c>
      <c r="P184" s="9">
        <f>YEAR(CustomerData[[#This Row],[Date]])</f>
        <v>2024</v>
      </c>
      <c r="Q184" s="10">
        <f t="shared" ca="1" si="4"/>
        <v>1551</v>
      </c>
      <c r="R184" s="11" t="str">
        <f t="shared" si="5"/>
        <v>VIP Customer</v>
      </c>
    </row>
    <row r="185" spans="1:18" x14ac:dyDescent="0.35">
      <c r="A185" s="7" t="s">
        <v>343</v>
      </c>
      <c r="B185" s="8">
        <v>45576</v>
      </c>
      <c r="C185" s="9" t="s">
        <v>114</v>
      </c>
      <c r="D185" s="9" t="s">
        <v>115</v>
      </c>
      <c r="E185" s="9" t="s">
        <v>132</v>
      </c>
      <c r="F185" s="9" t="s">
        <v>133</v>
      </c>
      <c r="G185" s="9" t="s">
        <v>51</v>
      </c>
      <c r="H185" s="9">
        <v>5</v>
      </c>
      <c r="I185" s="9">
        <v>199.99</v>
      </c>
      <c r="J185" s="9" t="s">
        <v>39</v>
      </c>
      <c r="K185" s="9" t="s">
        <v>25</v>
      </c>
      <c r="L185" s="9" t="s">
        <v>41</v>
      </c>
      <c r="M185" s="8">
        <v>44608</v>
      </c>
      <c r="N185" s="9">
        <v>999.95</v>
      </c>
      <c r="O185" s="20" t="str">
        <f>TEXT(CustomerData[[#This Row],[Date]],"mmm")</f>
        <v>Oct</v>
      </c>
      <c r="P185" s="9">
        <f>YEAR(CustomerData[[#This Row],[Date]])</f>
        <v>2024</v>
      </c>
      <c r="Q185" s="10">
        <f t="shared" ca="1" si="4"/>
        <v>1550</v>
      </c>
      <c r="R185" s="11" t="str">
        <f t="shared" si="5"/>
        <v>Medium Value</v>
      </c>
    </row>
    <row r="186" spans="1:18" x14ac:dyDescent="0.35">
      <c r="A186" s="7" t="s">
        <v>344</v>
      </c>
      <c r="B186" s="8">
        <v>45577</v>
      </c>
      <c r="C186" s="9" t="s">
        <v>98</v>
      </c>
      <c r="D186" s="9" t="s">
        <v>99</v>
      </c>
      <c r="E186" s="9" t="s">
        <v>21</v>
      </c>
      <c r="F186" s="9" t="s">
        <v>22</v>
      </c>
      <c r="G186" s="9" t="s">
        <v>23</v>
      </c>
      <c r="H186" s="9">
        <v>5</v>
      </c>
      <c r="I186" s="9">
        <v>249.99</v>
      </c>
      <c r="J186" s="9" t="s">
        <v>31</v>
      </c>
      <c r="K186" s="9" t="s">
        <v>40</v>
      </c>
      <c r="L186" s="9" t="s">
        <v>26</v>
      </c>
      <c r="M186" s="8">
        <v>44609</v>
      </c>
      <c r="N186" s="9">
        <v>1249.95</v>
      </c>
      <c r="O186" s="20" t="str">
        <f>TEXT(CustomerData[[#This Row],[Date]],"mmm")</f>
        <v>Oct</v>
      </c>
      <c r="P186" s="9">
        <f>YEAR(CustomerData[[#This Row],[Date]])</f>
        <v>2024</v>
      </c>
      <c r="Q186" s="10">
        <f t="shared" ca="1" si="4"/>
        <v>1549</v>
      </c>
      <c r="R186" s="11" t="str">
        <f t="shared" si="5"/>
        <v>High Value</v>
      </c>
    </row>
    <row r="187" spans="1:18" x14ac:dyDescent="0.35">
      <c r="A187" s="7" t="s">
        <v>345</v>
      </c>
      <c r="B187" s="8">
        <v>45578</v>
      </c>
      <c r="C187" s="9" t="s">
        <v>144</v>
      </c>
      <c r="D187" s="9" t="s">
        <v>145</v>
      </c>
      <c r="E187" s="9" t="s">
        <v>57</v>
      </c>
      <c r="F187" s="9" t="s">
        <v>58</v>
      </c>
      <c r="G187" s="9" t="s">
        <v>23</v>
      </c>
      <c r="H187" s="9">
        <v>4</v>
      </c>
      <c r="I187" s="9">
        <v>149.99</v>
      </c>
      <c r="J187" s="9" t="s">
        <v>62</v>
      </c>
      <c r="K187" s="9" t="s">
        <v>68</v>
      </c>
      <c r="L187" s="9" t="s">
        <v>41</v>
      </c>
      <c r="M187" s="8">
        <v>44610</v>
      </c>
      <c r="N187" s="9">
        <v>599.96</v>
      </c>
      <c r="O187" s="20" t="str">
        <f>TEXT(CustomerData[[#This Row],[Date]],"mmm")</f>
        <v>Oct</v>
      </c>
      <c r="P187" s="9">
        <f>YEAR(CustomerData[[#This Row],[Date]])</f>
        <v>2024</v>
      </c>
      <c r="Q187" s="10">
        <f t="shared" ca="1" si="4"/>
        <v>1548</v>
      </c>
      <c r="R187" s="11" t="str">
        <f t="shared" si="5"/>
        <v>Medium Value</v>
      </c>
    </row>
    <row r="188" spans="1:18" x14ac:dyDescent="0.35">
      <c r="A188" s="7" t="s">
        <v>346</v>
      </c>
      <c r="B188" s="8">
        <v>45579</v>
      </c>
      <c r="C188" s="9" t="s">
        <v>83</v>
      </c>
      <c r="D188" s="9" t="s">
        <v>84</v>
      </c>
      <c r="E188" s="9" t="s">
        <v>85</v>
      </c>
      <c r="F188" s="9" t="s">
        <v>86</v>
      </c>
      <c r="G188" s="9" t="s">
        <v>23</v>
      </c>
      <c r="H188" s="9">
        <v>3</v>
      </c>
      <c r="I188" s="9">
        <v>699.99</v>
      </c>
      <c r="J188" s="9" t="s">
        <v>24</v>
      </c>
      <c r="K188" s="9" t="s">
        <v>45</v>
      </c>
      <c r="L188" s="9" t="s">
        <v>32</v>
      </c>
      <c r="M188" s="8">
        <v>44611</v>
      </c>
      <c r="N188" s="9">
        <v>2099.9699999999998</v>
      </c>
      <c r="O188" s="20" t="str">
        <f>TEXT(CustomerData[[#This Row],[Date]],"mmm")</f>
        <v>Oct</v>
      </c>
      <c r="P188" s="9">
        <f>YEAR(CustomerData[[#This Row],[Date]])</f>
        <v>2024</v>
      </c>
      <c r="Q188" s="10">
        <f t="shared" ca="1" si="4"/>
        <v>1547</v>
      </c>
      <c r="R188" s="11" t="str">
        <f t="shared" si="5"/>
        <v>VIP Customer</v>
      </c>
    </row>
    <row r="189" spans="1:18" x14ac:dyDescent="0.35">
      <c r="A189" s="7" t="s">
        <v>347</v>
      </c>
      <c r="B189" s="8">
        <v>45580</v>
      </c>
      <c r="C189" s="9" t="s">
        <v>305</v>
      </c>
      <c r="D189" s="9" t="s">
        <v>306</v>
      </c>
      <c r="E189" s="9" t="s">
        <v>120</v>
      </c>
      <c r="F189" s="9" t="s">
        <v>121</v>
      </c>
      <c r="G189" s="9" t="s">
        <v>38</v>
      </c>
      <c r="H189" s="9">
        <v>1</v>
      </c>
      <c r="I189" s="9">
        <v>79.989999999999995</v>
      </c>
      <c r="J189" s="9" t="s">
        <v>31</v>
      </c>
      <c r="K189" s="9" t="s">
        <v>40</v>
      </c>
      <c r="L189" s="9" t="s">
        <v>26</v>
      </c>
      <c r="M189" s="8">
        <v>44612</v>
      </c>
      <c r="N189" s="9">
        <v>79.989999999999995</v>
      </c>
      <c r="O189" s="20" t="str">
        <f>TEXT(CustomerData[[#This Row],[Date]],"mmm")</f>
        <v>Oct</v>
      </c>
      <c r="P189" s="9">
        <f>YEAR(CustomerData[[#This Row],[Date]])</f>
        <v>2024</v>
      </c>
      <c r="Q189" s="10">
        <f t="shared" ca="1" si="4"/>
        <v>1546</v>
      </c>
      <c r="R189" s="11" t="str">
        <f t="shared" si="5"/>
        <v>Low Value</v>
      </c>
    </row>
    <row r="190" spans="1:18" x14ac:dyDescent="0.35">
      <c r="A190" s="7" t="s">
        <v>348</v>
      </c>
      <c r="B190" s="8">
        <v>45581</v>
      </c>
      <c r="C190" s="9" t="s">
        <v>91</v>
      </c>
      <c r="D190" s="9" t="s">
        <v>92</v>
      </c>
      <c r="E190" s="9" t="s">
        <v>111</v>
      </c>
      <c r="F190" s="9" t="s">
        <v>112</v>
      </c>
      <c r="G190" s="9" t="s">
        <v>51</v>
      </c>
      <c r="H190" s="9">
        <v>1</v>
      </c>
      <c r="I190" s="9">
        <v>299.99</v>
      </c>
      <c r="J190" s="9" t="s">
        <v>31</v>
      </c>
      <c r="K190" s="9" t="s">
        <v>45</v>
      </c>
      <c r="L190" s="9" t="s">
        <v>26</v>
      </c>
      <c r="M190" s="8">
        <v>44613</v>
      </c>
      <c r="N190" s="9">
        <v>299.99</v>
      </c>
      <c r="O190" s="20" t="str">
        <f>TEXT(CustomerData[[#This Row],[Date]],"mmm")</f>
        <v>Oct</v>
      </c>
      <c r="P190" s="9">
        <f>YEAR(CustomerData[[#This Row],[Date]])</f>
        <v>2024</v>
      </c>
      <c r="Q190" s="10">
        <f t="shared" ca="1" si="4"/>
        <v>1545</v>
      </c>
      <c r="R190" s="11" t="str">
        <f t="shared" si="5"/>
        <v>Low Value</v>
      </c>
    </row>
    <row r="191" spans="1:18" x14ac:dyDescent="0.35">
      <c r="A191" s="7" t="s">
        <v>349</v>
      </c>
      <c r="B191" s="8">
        <v>45582</v>
      </c>
      <c r="C191" s="9" t="s">
        <v>165</v>
      </c>
      <c r="D191" s="9" t="s">
        <v>166</v>
      </c>
      <c r="E191" s="9" t="s">
        <v>21</v>
      </c>
      <c r="F191" s="9" t="s">
        <v>22</v>
      </c>
      <c r="G191" s="9" t="s">
        <v>23</v>
      </c>
      <c r="H191" s="9">
        <v>4</v>
      </c>
      <c r="I191" s="9">
        <v>249.99</v>
      </c>
      <c r="J191" s="9" t="s">
        <v>31</v>
      </c>
      <c r="K191" s="9" t="s">
        <v>45</v>
      </c>
      <c r="L191" s="9" t="s">
        <v>32</v>
      </c>
      <c r="M191" s="8">
        <v>44614</v>
      </c>
      <c r="N191" s="9">
        <v>999.96</v>
      </c>
      <c r="O191" s="20" t="str">
        <f>TEXT(CustomerData[[#This Row],[Date]],"mmm")</f>
        <v>Oct</v>
      </c>
      <c r="P191" s="9">
        <f>YEAR(CustomerData[[#This Row],[Date]])</f>
        <v>2024</v>
      </c>
      <c r="Q191" s="10">
        <f t="shared" ca="1" si="4"/>
        <v>1544</v>
      </c>
      <c r="R191" s="11" t="str">
        <f t="shared" si="5"/>
        <v>Medium Value</v>
      </c>
    </row>
    <row r="192" spans="1:18" x14ac:dyDescent="0.35">
      <c r="A192" s="7" t="s">
        <v>350</v>
      </c>
      <c r="B192" s="8">
        <v>45583</v>
      </c>
      <c r="C192" s="9" t="s">
        <v>126</v>
      </c>
      <c r="D192" s="9" t="s">
        <v>127</v>
      </c>
      <c r="E192" s="9" t="s">
        <v>57</v>
      </c>
      <c r="F192" s="9" t="s">
        <v>58</v>
      </c>
      <c r="G192" s="9" t="s">
        <v>23</v>
      </c>
      <c r="H192" s="9">
        <v>2</v>
      </c>
      <c r="I192" s="9">
        <v>149.99</v>
      </c>
      <c r="J192" s="9" t="s">
        <v>24</v>
      </c>
      <c r="K192" s="9" t="s">
        <v>45</v>
      </c>
      <c r="L192" s="9" t="s">
        <v>41</v>
      </c>
      <c r="M192" s="8">
        <v>44615</v>
      </c>
      <c r="N192" s="9">
        <v>299.98</v>
      </c>
      <c r="O192" s="20" t="str">
        <f>TEXT(CustomerData[[#This Row],[Date]],"mmm")</f>
        <v>Oct</v>
      </c>
      <c r="P192" s="9">
        <f>YEAR(CustomerData[[#This Row],[Date]])</f>
        <v>2024</v>
      </c>
      <c r="Q192" s="10">
        <f t="shared" ca="1" si="4"/>
        <v>1543</v>
      </c>
      <c r="R192" s="11" t="str">
        <f t="shared" si="5"/>
        <v>Low Value</v>
      </c>
    </row>
    <row r="193" spans="1:18" x14ac:dyDescent="0.35">
      <c r="A193" s="7" t="s">
        <v>351</v>
      </c>
      <c r="B193" s="8">
        <v>45584</v>
      </c>
      <c r="C193" s="9" t="s">
        <v>243</v>
      </c>
      <c r="D193" s="9" t="s">
        <v>244</v>
      </c>
      <c r="E193" s="9" t="s">
        <v>111</v>
      </c>
      <c r="F193" s="9" t="s">
        <v>112</v>
      </c>
      <c r="G193" s="9" t="s">
        <v>51</v>
      </c>
      <c r="H193" s="9">
        <v>3</v>
      </c>
      <c r="I193" s="9">
        <v>299.99</v>
      </c>
      <c r="J193" s="9" t="s">
        <v>31</v>
      </c>
      <c r="K193" s="9" t="s">
        <v>40</v>
      </c>
      <c r="L193" s="9" t="s">
        <v>26</v>
      </c>
      <c r="M193" s="8">
        <v>44616</v>
      </c>
      <c r="N193" s="9">
        <v>899.97</v>
      </c>
      <c r="O193" s="20" t="str">
        <f>TEXT(CustomerData[[#This Row],[Date]],"mmm")</f>
        <v>Oct</v>
      </c>
      <c r="P193" s="9">
        <f>YEAR(CustomerData[[#This Row],[Date]])</f>
        <v>2024</v>
      </c>
      <c r="Q193" s="10">
        <f t="shared" ca="1" si="4"/>
        <v>1542</v>
      </c>
      <c r="R193" s="11" t="str">
        <f t="shared" si="5"/>
        <v>Medium Value</v>
      </c>
    </row>
    <row r="194" spans="1:18" x14ac:dyDescent="0.35">
      <c r="A194" s="7" t="s">
        <v>352</v>
      </c>
      <c r="B194" s="8">
        <v>45585</v>
      </c>
      <c r="C194" s="9" t="s">
        <v>235</v>
      </c>
      <c r="D194" s="9" t="s">
        <v>236</v>
      </c>
      <c r="E194" s="9" t="s">
        <v>132</v>
      </c>
      <c r="F194" s="9" t="s">
        <v>133</v>
      </c>
      <c r="G194" s="9" t="s">
        <v>51</v>
      </c>
      <c r="H194" s="9">
        <v>4</v>
      </c>
      <c r="I194" s="9">
        <v>199.99</v>
      </c>
      <c r="J194" s="9" t="s">
        <v>62</v>
      </c>
      <c r="K194" s="9" t="s">
        <v>40</v>
      </c>
      <c r="L194" s="9" t="s">
        <v>41</v>
      </c>
      <c r="M194" s="8">
        <v>44617</v>
      </c>
      <c r="N194" s="9">
        <v>799.96</v>
      </c>
      <c r="O194" s="20" t="str">
        <f>TEXT(CustomerData[[#This Row],[Date]],"mmm")</f>
        <v>Oct</v>
      </c>
      <c r="P194" s="9">
        <f>YEAR(CustomerData[[#This Row],[Date]])</f>
        <v>2024</v>
      </c>
      <c r="Q194" s="10">
        <f t="shared" ca="1" si="4"/>
        <v>1541</v>
      </c>
      <c r="R194" s="11" t="str">
        <f t="shared" si="5"/>
        <v>Medium Value</v>
      </c>
    </row>
    <row r="195" spans="1:18" x14ac:dyDescent="0.35">
      <c r="A195" s="7" t="s">
        <v>353</v>
      </c>
      <c r="B195" s="8">
        <v>45586</v>
      </c>
      <c r="C195" s="9" t="s">
        <v>219</v>
      </c>
      <c r="D195" s="9" t="s">
        <v>220</v>
      </c>
      <c r="E195" s="9" t="s">
        <v>111</v>
      </c>
      <c r="F195" s="9" t="s">
        <v>112</v>
      </c>
      <c r="G195" s="9" t="s">
        <v>51</v>
      </c>
      <c r="H195" s="9">
        <v>5</v>
      </c>
      <c r="I195" s="9">
        <v>299.99</v>
      </c>
      <c r="J195" s="9" t="s">
        <v>62</v>
      </c>
      <c r="K195" s="9" t="s">
        <v>25</v>
      </c>
      <c r="L195" s="9" t="s">
        <v>26</v>
      </c>
      <c r="M195" s="8">
        <v>44618</v>
      </c>
      <c r="N195" s="9">
        <v>1499.95</v>
      </c>
      <c r="O195" s="20" t="str">
        <f>TEXT(CustomerData[[#This Row],[Date]],"mmm")</f>
        <v>Oct</v>
      </c>
      <c r="P195" s="9">
        <f>YEAR(CustomerData[[#This Row],[Date]])</f>
        <v>2024</v>
      </c>
      <c r="Q195" s="10">
        <f t="shared" ref="Q195:Q251" ca="1" si="6">TODAY()-M195</f>
        <v>1540</v>
      </c>
      <c r="R195" s="11" t="str">
        <f t="shared" ref="R195:R251" si="7">IF(N195&gt;=2000,"VIP Customer",IF(N195&gt;=1000,"High Value",IF(N195&gt;=500,"Medium Value","Low Value")))</f>
        <v>High Value</v>
      </c>
    </row>
    <row r="196" spans="1:18" x14ac:dyDescent="0.35">
      <c r="A196" s="7" t="s">
        <v>354</v>
      </c>
      <c r="B196" s="8">
        <v>45587</v>
      </c>
      <c r="C196" s="9" t="s">
        <v>64</v>
      </c>
      <c r="D196" s="9" t="s">
        <v>65</v>
      </c>
      <c r="E196" s="9" t="s">
        <v>49</v>
      </c>
      <c r="F196" s="9" t="s">
        <v>50</v>
      </c>
      <c r="G196" s="9" t="s">
        <v>51</v>
      </c>
      <c r="H196" s="9">
        <v>3</v>
      </c>
      <c r="I196" s="9">
        <v>149.99</v>
      </c>
      <c r="J196" s="9" t="s">
        <v>31</v>
      </c>
      <c r="K196" s="9" t="s">
        <v>68</v>
      </c>
      <c r="L196" s="9" t="s">
        <v>41</v>
      </c>
      <c r="M196" s="8">
        <v>44619</v>
      </c>
      <c r="N196" s="9">
        <v>449.97</v>
      </c>
      <c r="O196" s="20" t="str">
        <f>TEXT(CustomerData[[#This Row],[Date]],"mmm")</f>
        <v>Oct</v>
      </c>
      <c r="P196" s="9">
        <f>YEAR(CustomerData[[#This Row],[Date]])</f>
        <v>2024</v>
      </c>
      <c r="Q196" s="10">
        <f t="shared" ca="1" si="6"/>
        <v>1539</v>
      </c>
      <c r="R196" s="11" t="str">
        <f t="shared" si="7"/>
        <v>Low Value</v>
      </c>
    </row>
    <row r="197" spans="1:18" x14ac:dyDescent="0.35">
      <c r="A197" s="7" t="s">
        <v>355</v>
      </c>
      <c r="B197" s="8">
        <v>45588</v>
      </c>
      <c r="C197" s="9" t="s">
        <v>135</v>
      </c>
      <c r="D197" s="9" t="s">
        <v>136</v>
      </c>
      <c r="E197" s="9" t="s">
        <v>36</v>
      </c>
      <c r="F197" s="9" t="s">
        <v>37</v>
      </c>
      <c r="G197" s="9" t="s">
        <v>38</v>
      </c>
      <c r="H197" s="9">
        <v>5</v>
      </c>
      <c r="I197" s="9">
        <v>59.99</v>
      </c>
      <c r="J197" s="9" t="s">
        <v>62</v>
      </c>
      <c r="K197" s="9" t="s">
        <v>68</v>
      </c>
      <c r="L197" s="9" t="s">
        <v>26</v>
      </c>
      <c r="M197" s="8">
        <v>44620</v>
      </c>
      <c r="N197" s="9">
        <v>299.95</v>
      </c>
      <c r="O197" s="20" t="str">
        <f>TEXT(CustomerData[[#This Row],[Date]],"mmm")</f>
        <v>Oct</v>
      </c>
      <c r="P197" s="9">
        <f>YEAR(CustomerData[[#This Row],[Date]])</f>
        <v>2024</v>
      </c>
      <c r="Q197" s="10">
        <f t="shared" ca="1" si="6"/>
        <v>1538</v>
      </c>
      <c r="R197" s="11" t="str">
        <f t="shared" si="7"/>
        <v>Low Value</v>
      </c>
    </row>
    <row r="198" spans="1:18" x14ac:dyDescent="0.35">
      <c r="A198" s="7" t="s">
        <v>356</v>
      </c>
      <c r="B198" s="8">
        <v>45589</v>
      </c>
      <c r="C198" s="9" t="s">
        <v>73</v>
      </c>
      <c r="D198" s="9" t="s">
        <v>74</v>
      </c>
      <c r="E198" s="9" t="s">
        <v>36</v>
      </c>
      <c r="F198" s="9" t="s">
        <v>37</v>
      </c>
      <c r="G198" s="9" t="s">
        <v>38</v>
      </c>
      <c r="H198" s="9">
        <v>4</v>
      </c>
      <c r="I198" s="9">
        <v>59.99</v>
      </c>
      <c r="J198" s="9" t="s">
        <v>62</v>
      </c>
      <c r="K198" s="9" t="s">
        <v>68</v>
      </c>
      <c r="L198" s="9" t="s">
        <v>41</v>
      </c>
      <c r="M198" s="8">
        <v>44621</v>
      </c>
      <c r="N198" s="9">
        <v>239.96</v>
      </c>
      <c r="O198" s="20" t="str">
        <f>TEXT(CustomerData[[#This Row],[Date]],"mmm")</f>
        <v>Oct</v>
      </c>
      <c r="P198" s="9">
        <f>YEAR(CustomerData[[#This Row],[Date]])</f>
        <v>2024</v>
      </c>
      <c r="Q198" s="10">
        <f t="shared" ca="1" si="6"/>
        <v>1537</v>
      </c>
      <c r="R198" s="11" t="str">
        <f t="shared" si="7"/>
        <v>Low Value</v>
      </c>
    </row>
    <row r="199" spans="1:18" x14ac:dyDescent="0.35">
      <c r="A199" s="7" t="s">
        <v>357</v>
      </c>
      <c r="B199" s="8">
        <v>45590</v>
      </c>
      <c r="C199" s="9" t="s">
        <v>53</v>
      </c>
      <c r="D199" s="9" t="s">
        <v>54</v>
      </c>
      <c r="E199" s="9" t="s">
        <v>21</v>
      </c>
      <c r="F199" s="9" t="s">
        <v>22</v>
      </c>
      <c r="G199" s="9" t="s">
        <v>23</v>
      </c>
      <c r="H199" s="9">
        <v>4</v>
      </c>
      <c r="I199" s="9">
        <v>249.99</v>
      </c>
      <c r="J199" s="9" t="s">
        <v>62</v>
      </c>
      <c r="K199" s="9" t="s">
        <v>25</v>
      </c>
      <c r="L199" s="9" t="s">
        <v>32</v>
      </c>
      <c r="M199" s="8">
        <v>44622</v>
      </c>
      <c r="N199" s="9">
        <v>999.96</v>
      </c>
      <c r="O199" s="20" t="str">
        <f>TEXT(CustomerData[[#This Row],[Date]],"mmm")</f>
        <v>Oct</v>
      </c>
      <c r="P199" s="9">
        <f>YEAR(CustomerData[[#This Row],[Date]])</f>
        <v>2024</v>
      </c>
      <c r="Q199" s="10">
        <f t="shared" ca="1" si="6"/>
        <v>1536</v>
      </c>
      <c r="R199" s="11" t="str">
        <f t="shared" si="7"/>
        <v>Medium Value</v>
      </c>
    </row>
    <row r="200" spans="1:18" x14ac:dyDescent="0.35">
      <c r="A200" s="7" t="s">
        <v>358</v>
      </c>
      <c r="B200" s="8">
        <v>45591</v>
      </c>
      <c r="C200" s="9" t="s">
        <v>262</v>
      </c>
      <c r="D200" s="9" t="s">
        <v>263</v>
      </c>
      <c r="E200" s="9" t="s">
        <v>66</v>
      </c>
      <c r="F200" s="9" t="s">
        <v>67</v>
      </c>
      <c r="G200" s="9" t="s">
        <v>23</v>
      </c>
      <c r="H200" s="9">
        <v>4</v>
      </c>
      <c r="I200" s="9">
        <v>899.99</v>
      </c>
      <c r="J200" s="9" t="s">
        <v>39</v>
      </c>
      <c r="K200" s="9" t="s">
        <v>25</v>
      </c>
      <c r="L200" s="9" t="s">
        <v>26</v>
      </c>
      <c r="M200" s="8">
        <v>44623</v>
      </c>
      <c r="N200" s="9">
        <v>3599.96</v>
      </c>
      <c r="O200" s="20" t="str">
        <f>TEXT(CustomerData[[#This Row],[Date]],"mmm")</f>
        <v>Oct</v>
      </c>
      <c r="P200" s="9">
        <f>YEAR(CustomerData[[#This Row],[Date]])</f>
        <v>2024</v>
      </c>
      <c r="Q200" s="10">
        <f t="shared" ca="1" si="6"/>
        <v>1535</v>
      </c>
      <c r="R200" s="11" t="str">
        <f t="shared" si="7"/>
        <v>VIP Customer</v>
      </c>
    </row>
    <row r="201" spans="1:18" x14ac:dyDescent="0.35">
      <c r="A201" s="7" t="s">
        <v>359</v>
      </c>
      <c r="B201" s="8">
        <v>45592</v>
      </c>
      <c r="C201" s="9" t="s">
        <v>91</v>
      </c>
      <c r="D201" s="9" t="s">
        <v>92</v>
      </c>
      <c r="E201" s="9" t="s">
        <v>111</v>
      </c>
      <c r="F201" s="9" t="s">
        <v>112</v>
      </c>
      <c r="G201" s="9" t="s">
        <v>51</v>
      </c>
      <c r="H201" s="9">
        <v>3</v>
      </c>
      <c r="I201" s="9">
        <v>299.99</v>
      </c>
      <c r="J201" s="9" t="s">
        <v>62</v>
      </c>
      <c r="K201" s="9" t="s">
        <v>55</v>
      </c>
      <c r="L201" s="9" t="s">
        <v>41</v>
      </c>
      <c r="M201" s="8">
        <v>44624</v>
      </c>
      <c r="N201" s="9">
        <v>899.97</v>
      </c>
      <c r="O201" s="20" t="str">
        <f>TEXT(CustomerData[[#This Row],[Date]],"mmm")</f>
        <v>Oct</v>
      </c>
      <c r="P201" s="9">
        <f>YEAR(CustomerData[[#This Row],[Date]])</f>
        <v>2024</v>
      </c>
      <c r="Q201" s="10">
        <f t="shared" ca="1" si="6"/>
        <v>1534</v>
      </c>
      <c r="R201" s="11" t="str">
        <f t="shared" si="7"/>
        <v>Medium Value</v>
      </c>
    </row>
    <row r="202" spans="1:18" x14ac:dyDescent="0.35">
      <c r="A202" s="7" t="s">
        <v>360</v>
      </c>
      <c r="B202" s="8">
        <v>45593</v>
      </c>
      <c r="C202" s="9" t="s">
        <v>305</v>
      </c>
      <c r="D202" s="9" t="s">
        <v>306</v>
      </c>
      <c r="E202" s="9" t="s">
        <v>85</v>
      </c>
      <c r="F202" s="9" t="s">
        <v>86</v>
      </c>
      <c r="G202" s="9" t="s">
        <v>23</v>
      </c>
      <c r="H202" s="9">
        <v>2</v>
      </c>
      <c r="I202" s="9">
        <v>699.99</v>
      </c>
      <c r="J202" s="9" t="s">
        <v>62</v>
      </c>
      <c r="K202" s="9" t="s">
        <v>25</v>
      </c>
      <c r="L202" s="9" t="s">
        <v>32</v>
      </c>
      <c r="M202" s="8">
        <v>44625</v>
      </c>
      <c r="N202" s="9">
        <v>1399.98</v>
      </c>
      <c r="O202" s="20" t="str">
        <f>TEXT(CustomerData[[#This Row],[Date]],"mmm")</f>
        <v>Oct</v>
      </c>
      <c r="P202" s="9">
        <f>YEAR(CustomerData[[#This Row],[Date]])</f>
        <v>2024</v>
      </c>
      <c r="Q202" s="10">
        <f t="shared" ca="1" si="6"/>
        <v>1533</v>
      </c>
      <c r="R202" s="11" t="str">
        <f t="shared" si="7"/>
        <v>High Value</v>
      </c>
    </row>
    <row r="203" spans="1:18" x14ac:dyDescent="0.35">
      <c r="A203" s="7" t="s">
        <v>361</v>
      </c>
      <c r="B203" s="8">
        <v>45594</v>
      </c>
      <c r="C203" s="9" t="s">
        <v>70</v>
      </c>
      <c r="D203" s="9" t="s">
        <v>71</v>
      </c>
      <c r="E203" s="9" t="s">
        <v>85</v>
      </c>
      <c r="F203" s="9" t="s">
        <v>86</v>
      </c>
      <c r="G203" s="9" t="s">
        <v>23</v>
      </c>
      <c r="H203" s="9">
        <v>4</v>
      </c>
      <c r="I203" s="9">
        <v>699.99</v>
      </c>
      <c r="J203" s="9" t="s">
        <v>62</v>
      </c>
      <c r="K203" s="9" t="s">
        <v>55</v>
      </c>
      <c r="L203" s="9" t="s">
        <v>32</v>
      </c>
      <c r="M203" s="8">
        <v>44626</v>
      </c>
      <c r="N203" s="9">
        <v>2799.96</v>
      </c>
      <c r="O203" s="20" t="str">
        <f>TEXT(CustomerData[[#This Row],[Date]],"mmm")</f>
        <v>Oct</v>
      </c>
      <c r="P203" s="9">
        <f>YEAR(CustomerData[[#This Row],[Date]])</f>
        <v>2024</v>
      </c>
      <c r="Q203" s="10">
        <f t="shared" ca="1" si="6"/>
        <v>1532</v>
      </c>
      <c r="R203" s="11" t="str">
        <f t="shared" si="7"/>
        <v>VIP Customer</v>
      </c>
    </row>
    <row r="204" spans="1:18" x14ac:dyDescent="0.35">
      <c r="A204" s="7" t="s">
        <v>362</v>
      </c>
      <c r="B204" s="8">
        <v>45595</v>
      </c>
      <c r="C204" s="9" t="s">
        <v>129</v>
      </c>
      <c r="D204" s="9" t="s">
        <v>130</v>
      </c>
      <c r="E204" s="9" t="s">
        <v>123</v>
      </c>
      <c r="F204" s="9" t="s">
        <v>124</v>
      </c>
      <c r="G204" s="9" t="s">
        <v>23</v>
      </c>
      <c r="H204" s="9">
        <v>2</v>
      </c>
      <c r="I204" s="9">
        <v>89.99</v>
      </c>
      <c r="J204" s="9" t="s">
        <v>62</v>
      </c>
      <c r="K204" s="9" t="s">
        <v>40</v>
      </c>
      <c r="L204" s="9" t="s">
        <v>26</v>
      </c>
      <c r="M204" s="8">
        <v>44627</v>
      </c>
      <c r="N204" s="9">
        <v>179.98</v>
      </c>
      <c r="O204" s="20" t="str">
        <f>TEXT(CustomerData[[#This Row],[Date]],"mmm")</f>
        <v>Oct</v>
      </c>
      <c r="P204" s="9">
        <f>YEAR(CustomerData[[#This Row],[Date]])</f>
        <v>2024</v>
      </c>
      <c r="Q204" s="10">
        <f t="shared" ca="1" si="6"/>
        <v>1531</v>
      </c>
      <c r="R204" s="11" t="str">
        <f t="shared" si="7"/>
        <v>Low Value</v>
      </c>
    </row>
    <row r="205" spans="1:18" x14ac:dyDescent="0.35">
      <c r="A205" s="7" t="s">
        <v>363</v>
      </c>
      <c r="B205" s="8">
        <v>45596</v>
      </c>
      <c r="C205" s="9" t="s">
        <v>47</v>
      </c>
      <c r="D205" s="9" t="s">
        <v>48</v>
      </c>
      <c r="E205" s="9" t="s">
        <v>123</v>
      </c>
      <c r="F205" s="9" t="s">
        <v>124</v>
      </c>
      <c r="G205" s="9" t="s">
        <v>23</v>
      </c>
      <c r="H205" s="9">
        <v>3</v>
      </c>
      <c r="I205" s="9">
        <v>89.99</v>
      </c>
      <c r="J205" s="9" t="s">
        <v>62</v>
      </c>
      <c r="K205" s="9" t="s">
        <v>40</v>
      </c>
      <c r="L205" s="9" t="s">
        <v>32</v>
      </c>
      <c r="M205" s="8">
        <v>44628</v>
      </c>
      <c r="N205" s="9">
        <v>269.97000000000003</v>
      </c>
      <c r="O205" s="20" t="str">
        <f>TEXT(CustomerData[[#This Row],[Date]],"mmm")</f>
        <v>Oct</v>
      </c>
      <c r="P205" s="9">
        <f>YEAR(CustomerData[[#This Row],[Date]])</f>
        <v>2024</v>
      </c>
      <c r="Q205" s="10">
        <f t="shared" ca="1" si="6"/>
        <v>1530</v>
      </c>
      <c r="R205" s="11" t="str">
        <f t="shared" si="7"/>
        <v>Low Value</v>
      </c>
    </row>
    <row r="206" spans="1:18" x14ac:dyDescent="0.35">
      <c r="A206" s="7" t="s">
        <v>364</v>
      </c>
      <c r="B206" s="8">
        <v>45597</v>
      </c>
      <c r="C206" s="9" t="s">
        <v>338</v>
      </c>
      <c r="D206" s="9" t="s">
        <v>339</v>
      </c>
      <c r="E206" s="9" t="s">
        <v>36</v>
      </c>
      <c r="F206" s="9" t="s">
        <v>37</v>
      </c>
      <c r="G206" s="9" t="s">
        <v>38</v>
      </c>
      <c r="H206" s="9">
        <v>1</v>
      </c>
      <c r="I206" s="9">
        <v>59.99</v>
      </c>
      <c r="J206" s="9" t="s">
        <v>62</v>
      </c>
      <c r="K206" s="9" t="s">
        <v>25</v>
      </c>
      <c r="L206" s="9" t="s">
        <v>41</v>
      </c>
      <c r="M206" s="8">
        <v>44629</v>
      </c>
      <c r="N206" s="9">
        <v>59.99</v>
      </c>
      <c r="O206" s="20" t="str">
        <f>TEXT(CustomerData[[#This Row],[Date]],"mmm")</f>
        <v>Nov</v>
      </c>
      <c r="P206" s="9">
        <f>YEAR(CustomerData[[#This Row],[Date]])</f>
        <v>2024</v>
      </c>
      <c r="Q206" s="10">
        <f t="shared" ca="1" si="6"/>
        <v>1529</v>
      </c>
      <c r="R206" s="11" t="str">
        <f t="shared" si="7"/>
        <v>Low Value</v>
      </c>
    </row>
    <row r="207" spans="1:18" x14ac:dyDescent="0.35">
      <c r="A207" s="7" t="s">
        <v>365</v>
      </c>
      <c r="B207" s="8">
        <v>45598</v>
      </c>
      <c r="C207" s="9" t="s">
        <v>256</v>
      </c>
      <c r="D207" s="9" t="s">
        <v>257</v>
      </c>
      <c r="E207" s="9" t="s">
        <v>49</v>
      </c>
      <c r="F207" s="9" t="s">
        <v>50</v>
      </c>
      <c r="G207" s="9" t="s">
        <v>51</v>
      </c>
      <c r="H207" s="9">
        <v>3</v>
      </c>
      <c r="I207" s="9">
        <v>149.99</v>
      </c>
      <c r="J207" s="9" t="s">
        <v>62</v>
      </c>
      <c r="K207" s="9" t="s">
        <v>45</v>
      </c>
      <c r="L207" s="9" t="s">
        <v>32</v>
      </c>
      <c r="M207" s="8">
        <v>44630</v>
      </c>
      <c r="N207" s="9">
        <v>449.97</v>
      </c>
      <c r="O207" s="20" t="str">
        <f>TEXT(CustomerData[[#This Row],[Date]],"mmm")</f>
        <v>Nov</v>
      </c>
      <c r="P207" s="9">
        <f>YEAR(CustomerData[[#This Row],[Date]])</f>
        <v>2024</v>
      </c>
      <c r="Q207" s="10">
        <f t="shared" ca="1" si="6"/>
        <v>1528</v>
      </c>
      <c r="R207" s="11" t="str">
        <f t="shared" si="7"/>
        <v>Low Value</v>
      </c>
    </row>
    <row r="208" spans="1:18" x14ac:dyDescent="0.35">
      <c r="A208" s="7" t="s">
        <v>366</v>
      </c>
      <c r="B208" s="8">
        <v>45599</v>
      </c>
      <c r="C208" s="9" t="s">
        <v>98</v>
      </c>
      <c r="D208" s="9" t="s">
        <v>99</v>
      </c>
      <c r="E208" s="9" t="s">
        <v>111</v>
      </c>
      <c r="F208" s="9" t="s">
        <v>112</v>
      </c>
      <c r="G208" s="9" t="s">
        <v>51</v>
      </c>
      <c r="H208" s="9">
        <v>5</v>
      </c>
      <c r="I208" s="9">
        <v>299.99</v>
      </c>
      <c r="J208" s="9" t="s">
        <v>31</v>
      </c>
      <c r="K208" s="9" t="s">
        <v>40</v>
      </c>
      <c r="L208" s="9" t="s">
        <v>26</v>
      </c>
      <c r="M208" s="8">
        <v>44631</v>
      </c>
      <c r="N208" s="9">
        <v>1499.95</v>
      </c>
      <c r="O208" s="20" t="str">
        <f>TEXT(CustomerData[[#This Row],[Date]],"mmm")</f>
        <v>Nov</v>
      </c>
      <c r="P208" s="9">
        <f>YEAR(CustomerData[[#This Row],[Date]])</f>
        <v>2024</v>
      </c>
      <c r="Q208" s="10">
        <f t="shared" ca="1" si="6"/>
        <v>1527</v>
      </c>
      <c r="R208" s="11" t="str">
        <f t="shared" si="7"/>
        <v>High Value</v>
      </c>
    </row>
    <row r="209" spans="1:18" x14ac:dyDescent="0.35">
      <c r="A209" s="7" t="s">
        <v>367</v>
      </c>
      <c r="B209" s="8">
        <v>45600</v>
      </c>
      <c r="C209" s="9" t="s">
        <v>156</v>
      </c>
      <c r="D209" s="9" t="s">
        <v>157</v>
      </c>
      <c r="E209" s="9" t="s">
        <v>36</v>
      </c>
      <c r="F209" s="9" t="s">
        <v>37</v>
      </c>
      <c r="G209" s="9" t="s">
        <v>38</v>
      </c>
      <c r="H209" s="9">
        <v>5</v>
      </c>
      <c r="I209" s="9">
        <v>59.99</v>
      </c>
      <c r="J209" s="9" t="s">
        <v>62</v>
      </c>
      <c r="K209" s="9" t="s">
        <v>25</v>
      </c>
      <c r="L209" s="9" t="s">
        <v>41</v>
      </c>
      <c r="M209" s="8">
        <v>44632</v>
      </c>
      <c r="N209" s="9">
        <v>299.95</v>
      </c>
      <c r="O209" s="20" t="str">
        <f>TEXT(CustomerData[[#This Row],[Date]],"mmm")</f>
        <v>Nov</v>
      </c>
      <c r="P209" s="9">
        <f>YEAR(CustomerData[[#This Row],[Date]])</f>
        <v>2024</v>
      </c>
      <c r="Q209" s="10">
        <f t="shared" ca="1" si="6"/>
        <v>1526</v>
      </c>
      <c r="R209" s="11" t="str">
        <f t="shared" si="7"/>
        <v>Low Value</v>
      </c>
    </row>
    <row r="210" spans="1:18" x14ac:dyDescent="0.35">
      <c r="A210" s="7" t="s">
        <v>368</v>
      </c>
      <c r="B210" s="8">
        <v>45601</v>
      </c>
      <c r="C210" s="9" t="s">
        <v>114</v>
      </c>
      <c r="D210" s="9" t="s">
        <v>115</v>
      </c>
      <c r="E210" s="9" t="s">
        <v>120</v>
      </c>
      <c r="F210" s="9" t="s">
        <v>121</v>
      </c>
      <c r="G210" s="9" t="s">
        <v>38</v>
      </c>
      <c r="H210" s="9">
        <v>3</v>
      </c>
      <c r="I210" s="9">
        <v>79.989999999999995</v>
      </c>
      <c r="J210" s="9" t="s">
        <v>24</v>
      </c>
      <c r="K210" s="9" t="s">
        <v>68</v>
      </c>
      <c r="L210" s="9" t="s">
        <v>32</v>
      </c>
      <c r="M210" s="8">
        <v>44633</v>
      </c>
      <c r="N210" s="9">
        <v>239.97</v>
      </c>
      <c r="O210" s="20" t="str">
        <f>TEXT(CustomerData[[#This Row],[Date]],"mmm")</f>
        <v>Nov</v>
      </c>
      <c r="P210" s="9">
        <f>YEAR(CustomerData[[#This Row],[Date]])</f>
        <v>2024</v>
      </c>
      <c r="Q210" s="10">
        <f t="shared" ca="1" si="6"/>
        <v>1525</v>
      </c>
      <c r="R210" s="11" t="str">
        <f t="shared" si="7"/>
        <v>Low Value</v>
      </c>
    </row>
    <row r="211" spans="1:18" x14ac:dyDescent="0.35">
      <c r="A211" s="7" t="s">
        <v>369</v>
      </c>
      <c r="B211" s="8">
        <v>45602</v>
      </c>
      <c r="C211" s="9" t="s">
        <v>34</v>
      </c>
      <c r="D211" s="9" t="s">
        <v>35</v>
      </c>
      <c r="E211" s="9" t="s">
        <v>132</v>
      </c>
      <c r="F211" s="9" t="s">
        <v>133</v>
      </c>
      <c r="G211" s="9" t="s">
        <v>51</v>
      </c>
      <c r="H211" s="9">
        <v>3</v>
      </c>
      <c r="I211" s="9">
        <v>199.99</v>
      </c>
      <c r="J211" s="9" t="s">
        <v>24</v>
      </c>
      <c r="K211" s="9" t="s">
        <v>25</v>
      </c>
      <c r="L211" s="9" t="s">
        <v>26</v>
      </c>
      <c r="M211" s="8">
        <v>44634</v>
      </c>
      <c r="N211" s="9">
        <v>599.97</v>
      </c>
      <c r="O211" s="20" t="str">
        <f>TEXT(CustomerData[[#This Row],[Date]],"mmm")</f>
        <v>Nov</v>
      </c>
      <c r="P211" s="9">
        <f>YEAR(CustomerData[[#This Row],[Date]])</f>
        <v>2024</v>
      </c>
      <c r="Q211" s="10">
        <f t="shared" ca="1" si="6"/>
        <v>1524</v>
      </c>
      <c r="R211" s="11" t="str">
        <f t="shared" si="7"/>
        <v>Medium Value</v>
      </c>
    </row>
    <row r="212" spans="1:18" x14ac:dyDescent="0.35">
      <c r="A212" s="7" t="s">
        <v>370</v>
      </c>
      <c r="B212" s="8">
        <v>45603</v>
      </c>
      <c r="C212" s="9" t="s">
        <v>19</v>
      </c>
      <c r="D212" s="9" t="s">
        <v>20</v>
      </c>
      <c r="E212" s="9" t="s">
        <v>123</v>
      </c>
      <c r="F212" s="9" t="s">
        <v>124</v>
      </c>
      <c r="G212" s="9" t="s">
        <v>23</v>
      </c>
      <c r="H212" s="9">
        <v>2</v>
      </c>
      <c r="I212" s="9">
        <v>89.99</v>
      </c>
      <c r="J212" s="9" t="s">
        <v>39</v>
      </c>
      <c r="K212" s="9" t="s">
        <v>25</v>
      </c>
      <c r="L212" s="9" t="s">
        <v>26</v>
      </c>
      <c r="M212" s="8">
        <v>44635</v>
      </c>
      <c r="N212" s="9">
        <v>179.98</v>
      </c>
      <c r="O212" s="20" t="str">
        <f>TEXT(CustomerData[[#This Row],[Date]],"mmm")</f>
        <v>Nov</v>
      </c>
      <c r="P212" s="9">
        <f>YEAR(CustomerData[[#This Row],[Date]])</f>
        <v>2024</v>
      </c>
      <c r="Q212" s="10">
        <f t="shared" ca="1" si="6"/>
        <v>1523</v>
      </c>
      <c r="R212" s="11" t="str">
        <f t="shared" si="7"/>
        <v>Low Value</v>
      </c>
    </row>
    <row r="213" spans="1:18" x14ac:dyDescent="0.35">
      <c r="A213" s="7" t="s">
        <v>371</v>
      </c>
      <c r="B213" s="8">
        <v>45604</v>
      </c>
      <c r="C213" s="9" t="s">
        <v>269</v>
      </c>
      <c r="D213" s="9" t="s">
        <v>270</v>
      </c>
      <c r="E213" s="9" t="s">
        <v>49</v>
      </c>
      <c r="F213" s="9" t="s">
        <v>50</v>
      </c>
      <c r="G213" s="9" t="s">
        <v>51</v>
      </c>
      <c r="H213" s="9">
        <v>2</v>
      </c>
      <c r="I213" s="9">
        <v>149.99</v>
      </c>
      <c r="J213" s="9" t="s">
        <v>24</v>
      </c>
      <c r="K213" s="9" t="s">
        <v>40</v>
      </c>
      <c r="L213" s="9" t="s">
        <v>32</v>
      </c>
      <c r="M213" s="8">
        <v>44636</v>
      </c>
      <c r="N213" s="9">
        <v>299.98</v>
      </c>
      <c r="O213" s="20" t="str">
        <f>TEXT(CustomerData[[#This Row],[Date]],"mmm")</f>
        <v>Nov</v>
      </c>
      <c r="P213" s="9">
        <f>YEAR(CustomerData[[#This Row],[Date]])</f>
        <v>2024</v>
      </c>
      <c r="Q213" s="10">
        <f t="shared" ca="1" si="6"/>
        <v>1522</v>
      </c>
      <c r="R213" s="11" t="str">
        <f t="shared" si="7"/>
        <v>Low Value</v>
      </c>
    </row>
    <row r="214" spans="1:18" x14ac:dyDescent="0.35">
      <c r="A214" s="7" t="s">
        <v>372</v>
      </c>
      <c r="B214" s="8">
        <v>45605</v>
      </c>
      <c r="C214" s="9" t="s">
        <v>129</v>
      </c>
      <c r="D214" s="9" t="s">
        <v>130</v>
      </c>
      <c r="E214" s="9" t="s">
        <v>85</v>
      </c>
      <c r="F214" s="9" t="s">
        <v>86</v>
      </c>
      <c r="G214" s="9" t="s">
        <v>23</v>
      </c>
      <c r="H214" s="9">
        <v>5</v>
      </c>
      <c r="I214" s="9">
        <v>699.99</v>
      </c>
      <c r="J214" s="9" t="s">
        <v>39</v>
      </c>
      <c r="K214" s="9" t="s">
        <v>40</v>
      </c>
      <c r="L214" s="9" t="s">
        <v>32</v>
      </c>
      <c r="M214" s="8">
        <v>44637</v>
      </c>
      <c r="N214" s="9">
        <v>3499.95</v>
      </c>
      <c r="O214" s="20" t="str">
        <f>TEXT(CustomerData[[#This Row],[Date]],"mmm")</f>
        <v>Nov</v>
      </c>
      <c r="P214" s="9">
        <f>YEAR(CustomerData[[#This Row],[Date]])</f>
        <v>2024</v>
      </c>
      <c r="Q214" s="10">
        <f t="shared" ca="1" si="6"/>
        <v>1521</v>
      </c>
      <c r="R214" s="11" t="str">
        <f t="shared" si="7"/>
        <v>VIP Customer</v>
      </c>
    </row>
    <row r="215" spans="1:18" x14ac:dyDescent="0.35">
      <c r="A215" s="7" t="s">
        <v>373</v>
      </c>
      <c r="B215" s="8">
        <v>45606</v>
      </c>
      <c r="C215" s="9" t="s">
        <v>47</v>
      </c>
      <c r="D215" s="9" t="s">
        <v>48</v>
      </c>
      <c r="E215" s="9" t="s">
        <v>49</v>
      </c>
      <c r="F215" s="9" t="s">
        <v>50</v>
      </c>
      <c r="G215" s="9" t="s">
        <v>51</v>
      </c>
      <c r="H215" s="9">
        <v>3</v>
      </c>
      <c r="I215" s="9">
        <v>149.99</v>
      </c>
      <c r="J215" s="9" t="s">
        <v>39</v>
      </c>
      <c r="K215" s="9" t="s">
        <v>25</v>
      </c>
      <c r="L215" s="9" t="s">
        <v>41</v>
      </c>
      <c r="M215" s="8">
        <v>44638</v>
      </c>
      <c r="N215" s="9">
        <v>449.97</v>
      </c>
      <c r="O215" s="20" t="str">
        <f>TEXT(CustomerData[[#This Row],[Date]],"mmm")</f>
        <v>Nov</v>
      </c>
      <c r="P215" s="9">
        <f>YEAR(CustomerData[[#This Row],[Date]])</f>
        <v>2024</v>
      </c>
      <c r="Q215" s="10">
        <f t="shared" ca="1" si="6"/>
        <v>1520</v>
      </c>
      <c r="R215" s="11" t="str">
        <f t="shared" si="7"/>
        <v>Low Value</v>
      </c>
    </row>
    <row r="216" spans="1:18" x14ac:dyDescent="0.35">
      <c r="A216" s="7" t="s">
        <v>374</v>
      </c>
      <c r="B216" s="8">
        <v>45607</v>
      </c>
      <c r="C216" s="9" t="s">
        <v>101</v>
      </c>
      <c r="D216" s="9" t="s">
        <v>102</v>
      </c>
      <c r="E216" s="9" t="s">
        <v>66</v>
      </c>
      <c r="F216" s="9" t="s">
        <v>67</v>
      </c>
      <c r="G216" s="9" t="s">
        <v>23</v>
      </c>
      <c r="H216" s="9">
        <v>3</v>
      </c>
      <c r="I216" s="9">
        <v>899.99</v>
      </c>
      <c r="J216" s="9" t="s">
        <v>24</v>
      </c>
      <c r="K216" s="9" t="s">
        <v>68</v>
      </c>
      <c r="L216" s="9" t="s">
        <v>41</v>
      </c>
      <c r="M216" s="8">
        <v>44639</v>
      </c>
      <c r="N216" s="9">
        <v>2699.97</v>
      </c>
      <c r="O216" s="20" t="str">
        <f>TEXT(CustomerData[[#This Row],[Date]],"mmm")</f>
        <v>Nov</v>
      </c>
      <c r="P216" s="9">
        <f>YEAR(CustomerData[[#This Row],[Date]])</f>
        <v>2024</v>
      </c>
      <c r="Q216" s="10">
        <f t="shared" ca="1" si="6"/>
        <v>1519</v>
      </c>
      <c r="R216" s="11" t="str">
        <f t="shared" si="7"/>
        <v>VIP Customer</v>
      </c>
    </row>
    <row r="217" spans="1:18" x14ac:dyDescent="0.35">
      <c r="A217" s="7" t="s">
        <v>375</v>
      </c>
      <c r="B217" s="8">
        <v>45608</v>
      </c>
      <c r="C217" s="9" t="s">
        <v>200</v>
      </c>
      <c r="D217" s="9" t="s">
        <v>201</v>
      </c>
      <c r="E217" s="9" t="s">
        <v>132</v>
      </c>
      <c r="F217" s="9" t="s">
        <v>133</v>
      </c>
      <c r="G217" s="9" t="s">
        <v>51</v>
      </c>
      <c r="H217" s="9">
        <v>3</v>
      </c>
      <c r="I217" s="9">
        <v>199.99</v>
      </c>
      <c r="J217" s="9" t="s">
        <v>24</v>
      </c>
      <c r="K217" s="9" t="s">
        <v>55</v>
      </c>
      <c r="L217" s="9" t="s">
        <v>32</v>
      </c>
      <c r="M217" s="8">
        <v>44640</v>
      </c>
      <c r="N217" s="9">
        <v>599.97</v>
      </c>
      <c r="O217" s="20" t="str">
        <f>TEXT(CustomerData[[#This Row],[Date]],"mmm")</f>
        <v>Nov</v>
      </c>
      <c r="P217" s="9">
        <f>YEAR(CustomerData[[#This Row],[Date]])</f>
        <v>2024</v>
      </c>
      <c r="Q217" s="10">
        <f t="shared" ca="1" si="6"/>
        <v>1518</v>
      </c>
      <c r="R217" s="11" t="str">
        <f t="shared" si="7"/>
        <v>Medium Value</v>
      </c>
    </row>
    <row r="218" spans="1:18" x14ac:dyDescent="0.35">
      <c r="A218" s="7" t="s">
        <v>376</v>
      </c>
      <c r="B218" s="8">
        <v>45609</v>
      </c>
      <c r="C218" s="9" t="s">
        <v>60</v>
      </c>
      <c r="D218" s="9" t="s">
        <v>61</v>
      </c>
      <c r="E218" s="9" t="s">
        <v>111</v>
      </c>
      <c r="F218" s="9" t="s">
        <v>112</v>
      </c>
      <c r="G218" s="9" t="s">
        <v>51</v>
      </c>
      <c r="H218" s="9">
        <v>5</v>
      </c>
      <c r="I218" s="9">
        <v>299.99</v>
      </c>
      <c r="J218" s="9" t="s">
        <v>24</v>
      </c>
      <c r="K218" s="9" t="s">
        <v>55</v>
      </c>
      <c r="L218" s="9" t="s">
        <v>41</v>
      </c>
      <c r="M218" s="8">
        <v>44641</v>
      </c>
      <c r="N218" s="9">
        <v>1499.95</v>
      </c>
      <c r="O218" s="20" t="str">
        <f>TEXT(CustomerData[[#This Row],[Date]],"mmm")</f>
        <v>Nov</v>
      </c>
      <c r="P218" s="9">
        <f>YEAR(CustomerData[[#This Row],[Date]])</f>
        <v>2024</v>
      </c>
      <c r="Q218" s="10">
        <f t="shared" ca="1" si="6"/>
        <v>1517</v>
      </c>
      <c r="R218" s="11" t="str">
        <f t="shared" si="7"/>
        <v>High Value</v>
      </c>
    </row>
    <row r="219" spans="1:18" x14ac:dyDescent="0.35">
      <c r="A219" s="7" t="s">
        <v>377</v>
      </c>
      <c r="B219" s="8">
        <v>45610</v>
      </c>
      <c r="C219" s="9" t="s">
        <v>156</v>
      </c>
      <c r="D219" s="9" t="s">
        <v>157</v>
      </c>
      <c r="E219" s="9" t="s">
        <v>85</v>
      </c>
      <c r="F219" s="9" t="s">
        <v>86</v>
      </c>
      <c r="G219" s="9" t="s">
        <v>23</v>
      </c>
      <c r="H219" s="9">
        <v>1</v>
      </c>
      <c r="I219" s="9">
        <v>699.99</v>
      </c>
      <c r="J219" s="9" t="s">
        <v>39</v>
      </c>
      <c r="K219" s="9" t="s">
        <v>55</v>
      </c>
      <c r="L219" s="9" t="s">
        <v>26</v>
      </c>
      <c r="M219" s="8">
        <v>44642</v>
      </c>
      <c r="N219" s="9">
        <v>699.99</v>
      </c>
      <c r="O219" s="20" t="str">
        <f>TEXT(CustomerData[[#This Row],[Date]],"mmm")</f>
        <v>Nov</v>
      </c>
      <c r="P219" s="9">
        <f>YEAR(CustomerData[[#This Row],[Date]])</f>
        <v>2024</v>
      </c>
      <c r="Q219" s="10">
        <f t="shared" ca="1" si="6"/>
        <v>1516</v>
      </c>
      <c r="R219" s="11" t="str">
        <f t="shared" si="7"/>
        <v>Medium Value</v>
      </c>
    </row>
    <row r="220" spans="1:18" x14ac:dyDescent="0.35">
      <c r="A220" s="7" t="s">
        <v>378</v>
      </c>
      <c r="B220" s="8">
        <v>45611</v>
      </c>
      <c r="C220" s="9" t="s">
        <v>256</v>
      </c>
      <c r="D220" s="9" t="s">
        <v>257</v>
      </c>
      <c r="E220" s="9" t="s">
        <v>85</v>
      </c>
      <c r="F220" s="9" t="s">
        <v>86</v>
      </c>
      <c r="G220" s="9" t="s">
        <v>23</v>
      </c>
      <c r="H220" s="9">
        <v>1</v>
      </c>
      <c r="I220" s="9">
        <v>699.99</v>
      </c>
      <c r="J220" s="9" t="s">
        <v>24</v>
      </c>
      <c r="K220" s="9" t="s">
        <v>45</v>
      </c>
      <c r="L220" s="9" t="s">
        <v>32</v>
      </c>
      <c r="M220" s="8">
        <v>44643</v>
      </c>
      <c r="N220" s="9">
        <v>699.99</v>
      </c>
      <c r="O220" s="20" t="str">
        <f>TEXT(CustomerData[[#This Row],[Date]],"mmm")</f>
        <v>Nov</v>
      </c>
      <c r="P220" s="9">
        <f>YEAR(CustomerData[[#This Row],[Date]])</f>
        <v>2024</v>
      </c>
      <c r="Q220" s="10">
        <f t="shared" ca="1" si="6"/>
        <v>1515</v>
      </c>
      <c r="R220" s="11" t="str">
        <f t="shared" si="7"/>
        <v>Medium Value</v>
      </c>
    </row>
    <row r="221" spans="1:18" x14ac:dyDescent="0.35">
      <c r="A221" s="7" t="s">
        <v>379</v>
      </c>
      <c r="B221" s="8">
        <v>45612</v>
      </c>
      <c r="C221" s="9" t="s">
        <v>338</v>
      </c>
      <c r="D221" s="9" t="s">
        <v>339</v>
      </c>
      <c r="E221" s="9" t="s">
        <v>49</v>
      </c>
      <c r="F221" s="9" t="s">
        <v>50</v>
      </c>
      <c r="G221" s="9" t="s">
        <v>51</v>
      </c>
      <c r="H221" s="9">
        <v>4</v>
      </c>
      <c r="I221" s="9">
        <v>149.99</v>
      </c>
      <c r="J221" s="9" t="s">
        <v>39</v>
      </c>
      <c r="K221" s="9" t="s">
        <v>45</v>
      </c>
      <c r="L221" s="9" t="s">
        <v>32</v>
      </c>
      <c r="M221" s="8">
        <v>44644</v>
      </c>
      <c r="N221" s="9">
        <v>599.96</v>
      </c>
      <c r="O221" s="20" t="str">
        <f>TEXT(CustomerData[[#This Row],[Date]],"mmm")</f>
        <v>Nov</v>
      </c>
      <c r="P221" s="9">
        <f>YEAR(CustomerData[[#This Row],[Date]])</f>
        <v>2024</v>
      </c>
      <c r="Q221" s="10">
        <f t="shared" ca="1" si="6"/>
        <v>1514</v>
      </c>
      <c r="R221" s="11" t="str">
        <f t="shared" si="7"/>
        <v>Medium Value</v>
      </c>
    </row>
    <row r="222" spans="1:18" x14ac:dyDescent="0.35">
      <c r="A222" s="7" t="s">
        <v>380</v>
      </c>
      <c r="B222" s="8">
        <v>45613</v>
      </c>
      <c r="C222" s="9" t="s">
        <v>219</v>
      </c>
      <c r="D222" s="9" t="s">
        <v>220</v>
      </c>
      <c r="E222" s="9" t="s">
        <v>123</v>
      </c>
      <c r="F222" s="9" t="s">
        <v>124</v>
      </c>
      <c r="G222" s="9" t="s">
        <v>23</v>
      </c>
      <c r="H222" s="9">
        <v>5</v>
      </c>
      <c r="I222" s="9">
        <v>89.99</v>
      </c>
      <c r="J222" s="9" t="s">
        <v>39</v>
      </c>
      <c r="K222" s="9" t="s">
        <v>55</v>
      </c>
      <c r="L222" s="9" t="s">
        <v>32</v>
      </c>
      <c r="M222" s="8">
        <v>44645</v>
      </c>
      <c r="N222" s="9">
        <v>449.95</v>
      </c>
      <c r="O222" s="20" t="str">
        <f>TEXT(CustomerData[[#This Row],[Date]],"mmm")</f>
        <v>Nov</v>
      </c>
      <c r="P222" s="9">
        <f>YEAR(CustomerData[[#This Row],[Date]])</f>
        <v>2024</v>
      </c>
      <c r="Q222" s="10">
        <f t="shared" ca="1" si="6"/>
        <v>1513</v>
      </c>
      <c r="R222" s="11" t="str">
        <f t="shared" si="7"/>
        <v>Low Value</v>
      </c>
    </row>
    <row r="223" spans="1:18" x14ac:dyDescent="0.35">
      <c r="A223" s="7" t="s">
        <v>381</v>
      </c>
      <c r="B223" s="8">
        <v>45614</v>
      </c>
      <c r="C223" s="9" t="s">
        <v>144</v>
      </c>
      <c r="D223" s="9" t="s">
        <v>145</v>
      </c>
      <c r="E223" s="9" t="s">
        <v>132</v>
      </c>
      <c r="F223" s="9" t="s">
        <v>133</v>
      </c>
      <c r="G223" s="9" t="s">
        <v>51</v>
      </c>
      <c r="H223" s="9">
        <v>2</v>
      </c>
      <c r="I223" s="9">
        <v>199.99</v>
      </c>
      <c r="J223" s="9" t="s">
        <v>24</v>
      </c>
      <c r="K223" s="9" t="s">
        <v>25</v>
      </c>
      <c r="L223" s="9" t="s">
        <v>32</v>
      </c>
      <c r="M223" s="8">
        <v>44646</v>
      </c>
      <c r="N223" s="9">
        <v>399.98</v>
      </c>
      <c r="O223" s="20" t="str">
        <f>TEXT(CustomerData[[#This Row],[Date]],"mmm")</f>
        <v>Nov</v>
      </c>
      <c r="P223" s="9">
        <f>YEAR(CustomerData[[#This Row],[Date]])</f>
        <v>2024</v>
      </c>
      <c r="Q223" s="10">
        <f t="shared" ca="1" si="6"/>
        <v>1512</v>
      </c>
      <c r="R223" s="11" t="str">
        <f t="shared" si="7"/>
        <v>Low Value</v>
      </c>
    </row>
    <row r="224" spans="1:18" x14ac:dyDescent="0.35">
      <c r="A224" s="7" t="s">
        <v>382</v>
      </c>
      <c r="B224" s="8">
        <v>45615</v>
      </c>
      <c r="C224" s="9" t="s">
        <v>269</v>
      </c>
      <c r="D224" s="9" t="s">
        <v>270</v>
      </c>
      <c r="E224" s="9" t="s">
        <v>36</v>
      </c>
      <c r="F224" s="9" t="s">
        <v>37</v>
      </c>
      <c r="G224" s="9" t="s">
        <v>38</v>
      </c>
      <c r="H224" s="9">
        <v>4</v>
      </c>
      <c r="I224" s="9">
        <v>59.99</v>
      </c>
      <c r="J224" s="9" t="s">
        <v>24</v>
      </c>
      <c r="K224" s="9" t="s">
        <v>55</v>
      </c>
      <c r="L224" s="9" t="s">
        <v>41</v>
      </c>
      <c r="M224" s="8">
        <v>44647</v>
      </c>
      <c r="N224" s="9">
        <v>239.96</v>
      </c>
      <c r="O224" s="20" t="str">
        <f>TEXT(CustomerData[[#This Row],[Date]],"mmm")</f>
        <v>Nov</v>
      </c>
      <c r="P224" s="9">
        <f>YEAR(CustomerData[[#This Row],[Date]])</f>
        <v>2024</v>
      </c>
      <c r="Q224" s="10">
        <f t="shared" ca="1" si="6"/>
        <v>1511</v>
      </c>
      <c r="R224" s="11" t="str">
        <f t="shared" si="7"/>
        <v>Low Value</v>
      </c>
    </row>
    <row r="225" spans="1:18" x14ac:dyDescent="0.35">
      <c r="A225" s="7" t="s">
        <v>383</v>
      </c>
      <c r="B225" s="8">
        <v>45616</v>
      </c>
      <c r="C225" s="9" t="s">
        <v>98</v>
      </c>
      <c r="D225" s="9" t="s">
        <v>99</v>
      </c>
      <c r="E225" s="9" t="s">
        <v>111</v>
      </c>
      <c r="F225" s="9" t="s">
        <v>112</v>
      </c>
      <c r="G225" s="9" t="s">
        <v>51</v>
      </c>
      <c r="H225" s="9">
        <v>2</v>
      </c>
      <c r="I225" s="9">
        <v>299.99</v>
      </c>
      <c r="J225" s="9" t="s">
        <v>39</v>
      </c>
      <c r="K225" s="9" t="s">
        <v>40</v>
      </c>
      <c r="L225" s="9" t="s">
        <v>26</v>
      </c>
      <c r="M225" s="8">
        <v>44648</v>
      </c>
      <c r="N225" s="9">
        <v>599.98</v>
      </c>
      <c r="O225" s="20" t="str">
        <f>TEXT(CustomerData[[#This Row],[Date]],"mmm")</f>
        <v>Nov</v>
      </c>
      <c r="P225" s="9">
        <f>YEAR(CustomerData[[#This Row],[Date]])</f>
        <v>2024</v>
      </c>
      <c r="Q225" s="10">
        <f t="shared" ca="1" si="6"/>
        <v>1510</v>
      </c>
      <c r="R225" s="11" t="str">
        <f t="shared" si="7"/>
        <v>Medium Value</v>
      </c>
    </row>
    <row r="226" spans="1:18" x14ac:dyDescent="0.35">
      <c r="A226" s="7" t="s">
        <v>384</v>
      </c>
      <c r="B226" s="8">
        <v>45617</v>
      </c>
      <c r="C226" s="9" t="s">
        <v>60</v>
      </c>
      <c r="D226" s="9" t="s">
        <v>61</v>
      </c>
      <c r="E226" s="9" t="s">
        <v>49</v>
      </c>
      <c r="F226" s="9" t="s">
        <v>50</v>
      </c>
      <c r="G226" s="9" t="s">
        <v>51</v>
      </c>
      <c r="H226" s="9">
        <v>2</v>
      </c>
      <c r="I226" s="9">
        <v>149.99</v>
      </c>
      <c r="J226" s="9" t="s">
        <v>24</v>
      </c>
      <c r="K226" s="9" t="s">
        <v>25</v>
      </c>
      <c r="L226" s="9" t="s">
        <v>26</v>
      </c>
      <c r="M226" s="8">
        <v>44649</v>
      </c>
      <c r="N226" s="9">
        <v>299.98</v>
      </c>
      <c r="O226" s="20" t="str">
        <f>TEXT(CustomerData[[#This Row],[Date]],"mmm")</f>
        <v>Nov</v>
      </c>
      <c r="P226" s="9">
        <f>YEAR(CustomerData[[#This Row],[Date]])</f>
        <v>2024</v>
      </c>
      <c r="Q226" s="10">
        <f t="shared" ca="1" si="6"/>
        <v>1509</v>
      </c>
      <c r="R226" s="11" t="str">
        <f t="shared" si="7"/>
        <v>Low Value</v>
      </c>
    </row>
    <row r="227" spans="1:18" x14ac:dyDescent="0.35">
      <c r="A227" s="7" t="s">
        <v>385</v>
      </c>
      <c r="B227" s="8">
        <v>45618</v>
      </c>
      <c r="C227" s="9" t="s">
        <v>235</v>
      </c>
      <c r="D227" s="9" t="s">
        <v>236</v>
      </c>
      <c r="E227" s="9" t="s">
        <v>85</v>
      </c>
      <c r="F227" s="9" t="s">
        <v>86</v>
      </c>
      <c r="G227" s="9" t="s">
        <v>23</v>
      </c>
      <c r="H227" s="9">
        <v>5</v>
      </c>
      <c r="I227" s="9">
        <v>699.99</v>
      </c>
      <c r="J227" s="9" t="s">
        <v>62</v>
      </c>
      <c r="K227" s="9" t="s">
        <v>68</v>
      </c>
      <c r="L227" s="9" t="s">
        <v>32</v>
      </c>
      <c r="M227" s="8">
        <v>44650</v>
      </c>
      <c r="N227" s="9">
        <v>3499.95</v>
      </c>
      <c r="O227" s="20" t="str">
        <f>TEXT(CustomerData[[#This Row],[Date]],"mmm")</f>
        <v>Nov</v>
      </c>
      <c r="P227" s="9">
        <f>YEAR(CustomerData[[#This Row],[Date]])</f>
        <v>2024</v>
      </c>
      <c r="Q227" s="10">
        <f t="shared" ca="1" si="6"/>
        <v>1508</v>
      </c>
      <c r="R227" s="11" t="str">
        <f t="shared" si="7"/>
        <v>VIP Customer</v>
      </c>
    </row>
    <row r="228" spans="1:18" x14ac:dyDescent="0.35">
      <c r="A228" s="7" t="s">
        <v>386</v>
      </c>
      <c r="B228" s="8">
        <v>45619</v>
      </c>
      <c r="C228" s="9" t="s">
        <v>80</v>
      </c>
      <c r="D228" s="9" t="s">
        <v>81</v>
      </c>
      <c r="E228" s="9" t="s">
        <v>36</v>
      </c>
      <c r="F228" s="9" t="s">
        <v>37</v>
      </c>
      <c r="G228" s="9" t="s">
        <v>38</v>
      </c>
      <c r="H228" s="9">
        <v>5</v>
      </c>
      <c r="I228" s="9">
        <v>59.99</v>
      </c>
      <c r="J228" s="9" t="s">
        <v>24</v>
      </c>
      <c r="K228" s="9" t="s">
        <v>55</v>
      </c>
      <c r="L228" s="9" t="s">
        <v>32</v>
      </c>
      <c r="M228" s="8">
        <v>44651</v>
      </c>
      <c r="N228" s="9">
        <v>299.95</v>
      </c>
      <c r="O228" s="20" t="str">
        <f>TEXT(CustomerData[[#This Row],[Date]],"mmm")</f>
        <v>Nov</v>
      </c>
      <c r="P228" s="9">
        <f>YEAR(CustomerData[[#This Row],[Date]])</f>
        <v>2024</v>
      </c>
      <c r="Q228" s="10">
        <f t="shared" ca="1" si="6"/>
        <v>1507</v>
      </c>
      <c r="R228" s="11" t="str">
        <f t="shared" si="7"/>
        <v>Low Value</v>
      </c>
    </row>
    <row r="229" spans="1:18" x14ac:dyDescent="0.35">
      <c r="A229" s="7" t="s">
        <v>387</v>
      </c>
      <c r="B229" s="8">
        <v>45620</v>
      </c>
      <c r="C229" s="9" t="s">
        <v>19</v>
      </c>
      <c r="D229" s="9" t="s">
        <v>20</v>
      </c>
      <c r="E229" s="9" t="s">
        <v>123</v>
      </c>
      <c r="F229" s="9" t="s">
        <v>124</v>
      </c>
      <c r="G229" s="9" t="s">
        <v>23</v>
      </c>
      <c r="H229" s="9">
        <v>2</v>
      </c>
      <c r="I229" s="9">
        <v>89.99</v>
      </c>
      <c r="J229" s="9" t="s">
        <v>31</v>
      </c>
      <c r="K229" s="9" t="s">
        <v>55</v>
      </c>
      <c r="L229" s="9" t="s">
        <v>32</v>
      </c>
      <c r="M229" s="8">
        <v>44652</v>
      </c>
      <c r="N229" s="9">
        <v>179.98</v>
      </c>
      <c r="O229" s="20" t="str">
        <f>TEXT(CustomerData[[#This Row],[Date]],"mmm")</f>
        <v>Nov</v>
      </c>
      <c r="P229" s="9">
        <f>YEAR(CustomerData[[#This Row],[Date]])</f>
        <v>2024</v>
      </c>
      <c r="Q229" s="10">
        <f t="shared" ca="1" si="6"/>
        <v>1506</v>
      </c>
      <c r="R229" s="11" t="str">
        <f t="shared" si="7"/>
        <v>Low Value</v>
      </c>
    </row>
    <row r="230" spans="1:18" x14ac:dyDescent="0.35">
      <c r="A230" s="7" t="s">
        <v>388</v>
      </c>
      <c r="B230" s="8">
        <v>45621</v>
      </c>
      <c r="C230" s="9" t="s">
        <v>126</v>
      </c>
      <c r="D230" s="9" t="s">
        <v>127</v>
      </c>
      <c r="E230" s="9" t="s">
        <v>21</v>
      </c>
      <c r="F230" s="9" t="s">
        <v>22</v>
      </c>
      <c r="G230" s="9" t="s">
        <v>23</v>
      </c>
      <c r="H230" s="9">
        <v>5</v>
      </c>
      <c r="I230" s="9">
        <v>249.99</v>
      </c>
      <c r="J230" s="9" t="s">
        <v>24</v>
      </c>
      <c r="K230" s="9" t="s">
        <v>68</v>
      </c>
      <c r="L230" s="9" t="s">
        <v>41</v>
      </c>
      <c r="M230" s="8">
        <v>44653</v>
      </c>
      <c r="N230" s="9">
        <v>1249.95</v>
      </c>
      <c r="O230" s="20" t="str">
        <f>TEXT(CustomerData[[#This Row],[Date]],"mmm")</f>
        <v>Nov</v>
      </c>
      <c r="P230" s="9">
        <f>YEAR(CustomerData[[#This Row],[Date]])</f>
        <v>2024</v>
      </c>
      <c r="Q230" s="10">
        <f t="shared" ca="1" si="6"/>
        <v>1505</v>
      </c>
      <c r="R230" s="11" t="str">
        <f t="shared" si="7"/>
        <v>High Value</v>
      </c>
    </row>
    <row r="231" spans="1:18" x14ac:dyDescent="0.35">
      <c r="A231" s="7" t="s">
        <v>389</v>
      </c>
      <c r="B231" s="8">
        <v>45622</v>
      </c>
      <c r="C231" s="9" t="s">
        <v>235</v>
      </c>
      <c r="D231" s="9" t="s">
        <v>236</v>
      </c>
      <c r="E231" s="9" t="s">
        <v>49</v>
      </c>
      <c r="F231" s="9" t="s">
        <v>50</v>
      </c>
      <c r="G231" s="9" t="s">
        <v>51</v>
      </c>
      <c r="H231" s="9">
        <v>2</v>
      </c>
      <c r="I231" s="9">
        <v>149.99</v>
      </c>
      <c r="J231" s="9" t="s">
        <v>39</v>
      </c>
      <c r="K231" s="9" t="s">
        <v>25</v>
      </c>
      <c r="L231" s="9" t="s">
        <v>32</v>
      </c>
      <c r="M231" s="8">
        <v>44654</v>
      </c>
      <c r="N231" s="9">
        <v>299.98</v>
      </c>
      <c r="O231" s="20" t="str">
        <f>TEXT(CustomerData[[#This Row],[Date]],"mmm")</f>
        <v>Nov</v>
      </c>
      <c r="P231" s="9">
        <f>YEAR(CustomerData[[#This Row],[Date]])</f>
        <v>2024</v>
      </c>
      <c r="Q231" s="10">
        <f t="shared" ca="1" si="6"/>
        <v>1504</v>
      </c>
      <c r="R231" s="11" t="str">
        <f t="shared" si="7"/>
        <v>Low Value</v>
      </c>
    </row>
    <row r="232" spans="1:18" x14ac:dyDescent="0.35">
      <c r="A232" s="7" t="s">
        <v>390</v>
      </c>
      <c r="B232" s="8">
        <v>45623</v>
      </c>
      <c r="C232" s="9" t="s">
        <v>150</v>
      </c>
      <c r="D232" s="9" t="s">
        <v>151</v>
      </c>
      <c r="E232" s="9" t="s">
        <v>66</v>
      </c>
      <c r="F232" s="9" t="s">
        <v>67</v>
      </c>
      <c r="G232" s="9" t="s">
        <v>23</v>
      </c>
      <c r="H232" s="9">
        <v>5</v>
      </c>
      <c r="I232" s="9">
        <v>899.99</v>
      </c>
      <c r="J232" s="9" t="s">
        <v>39</v>
      </c>
      <c r="K232" s="9" t="s">
        <v>68</v>
      </c>
      <c r="L232" s="9" t="s">
        <v>32</v>
      </c>
      <c r="M232" s="8">
        <v>44655</v>
      </c>
      <c r="N232" s="9">
        <v>4499.95</v>
      </c>
      <c r="O232" s="20" t="str">
        <f>TEXT(CustomerData[[#This Row],[Date]],"mmm")</f>
        <v>Nov</v>
      </c>
      <c r="P232" s="9">
        <f>YEAR(CustomerData[[#This Row],[Date]])</f>
        <v>2024</v>
      </c>
      <c r="Q232" s="10">
        <f t="shared" ca="1" si="6"/>
        <v>1503</v>
      </c>
      <c r="R232" s="11" t="str">
        <f t="shared" si="7"/>
        <v>VIP Customer</v>
      </c>
    </row>
    <row r="233" spans="1:18" x14ac:dyDescent="0.35">
      <c r="A233" s="7" t="s">
        <v>391</v>
      </c>
      <c r="B233" s="8">
        <v>45624</v>
      </c>
      <c r="C233" s="9" t="s">
        <v>60</v>
      </c>
      <c r="D233" s="9" t="s">
        <v>61</v>
      </c>
      <c r="E233" s="9" t="s">
        <v>49</v>
      </c>
      <c r="F233" s="9" t="s">
        <v>50</v>
      </c>
      <c r="G233" s="9" t="s">
        <v>51</v>
      </c>
      <c r="H233" s="9">
        <v>4</v>
      </c>
      <c r="I233" s="9">
        <v>149.99</v>
      </c>
      <c r="J233" s="9" t="s">
        <v>24</v>
      </c>
      <c r="K233" s="9" t="s">
        <v>25</v>
      </c>
      <c r="L233" s="9" t="s">
        <v>41</v>
      </c>
      <c r="M233" s="8">
        <v>44656</v>
      </c>
      <c r="N233" s="9">
        <v>599.96</v>
      </c>
      <c r="O233" s="20" t="str">
        <f>TEXT(CustomerData[[#This Row],[Date]],"mmm")</f>
        <v>Nov</v>
      </c>
      <c r="P233" s="9">
        <f>YEAR(CustomerData[[#This Row],[Date]])</f>
        <v>2024</v>
      </c>
      <c r="Q233" s="10">
        <f t="shared" ca="1" si="6"/>
        <v>1502</v>
      </c>
      <c r="R233" s="11" t="str">
        <f t="shared" si="7"/>
        <v>Medium Value</v>
      </c>
    </row>
    <row r="234" spans="1:18" x14ac:dyDescent="0.35">
      <c r="A234" s="7" t="s">
        <v>392</v>
      </c>
      <c r="B234" s="8">
        <v>45625</v>
      </c>
      <c r="C234" s="9" t="s">
        <v>150</v>
      </c>
      <c r="D234" s="9" t="s">
        <v>151</v>
      </c>
      <c r="E234" s="9" t="s">
        <v>21</v>
      </c>
      <c r="F234" s="9" t="s">
        <v>22</v>
      </c>
      <c r="G234" s="9" t="s">
        <v>23</v>
      </c>
      <c r="H234" s="9">
        <v>1</v>
      </c>
      <c r="I234" s="9">
        <v>249.99</v>
      </c>
      <c r="J234" s="9" t="s">
        <v>24</v>
      </c>
      <c r="K234" s="9" t="s">
        <v>45</v>
      </c>
      <c r="L234" s="9" t="s">
        <v>41</v>
      </c>
      <c r="M234" s="8">
        <v>44657</v>
      </c>
      <c r="N234" s="9">
        <v>249.99</v>
      </c>
      <c r="O234" s="20" t="str">
        <f>TEXT(CustomerData[[#This Row],[Date]],"mmm")</f>
        <v>Nov</v>
      </c>
      <c r="P234" s="9">
        <f>YEAR(CustomerData[[#This Row],[Date]])</f>
        <v>2024</v>
      </c>
      <c r="Q234" s="10">
        <f t="shared" ca="1" si="6"/>
        <v>1501</v>
      </c>
      <c r="R234" s="11" t="str">
        <f t="shared" si="7"/>
        <v>Low Value</v>
      </c>
    </row>
    <row r="235" spans="1:18" x14ac:dyDescent="0.35">
      <c r="A235" s="7" t="s">
        <v>393</v>
      </c>
      <c r="B235" s="8">
        <v>45626</v>
      </c>
      <c r="C235" s="9" t="s">
        <v>200</v>
      </c>
      <c r="D235" s="9" t="s">
        <v>201</v>
      </c>
      <c r="E235" s="9" t="s">
        <v>36</v>
      </c>
      <c r="F235" s="9" t="s">
        <v>37</v>
      </c>
      <c r="G235" s="9" t="s">
        <v>38</v>
      </c>
      <c r="H235" s="9">
        <v>2</v>
      </c>
      <c r="I235" s="9">
        <v>59.99</v>
      </c>
      <c r="J235" s="9" t="s">
        <v>31</v>
      </c>
      <c r="K235" s="9" t="s">
        <v>55</v>
      </c>
      <c r="L235" s="9" t="s">
        <v>26</v>
      </c>
      <c r="M235" s="8">
        <v>44658</v>
      </c>
      <c r="N235" s="9">
        <v>119.98</v>
      </c>
      <c r="O235" s="20" t="str">
        <f>TEXT(CustomerData[[#This Row],[Date]],"mmm")</f>
        <v>Nov</v>
      </c>
      <c r="P235" s="9">
        <f>YEAR(CustomerData[[#This Row],[Date]])</f>
        <v>2024</v>
      </c>
      <c r="Q235" s="10">
        <f t="shared" ca="1" si="6"/>
        <v>1500</v>
      </c>
      <c r="R235" s="11" t="str">
        <f t="shared" si="7"/>
        <v>Low Value</v>
      </c>
    </row>
    <row r="236" spans="1:18" x14ac:dyDescent="0.35">
      <c r="A236" s="7" t="s">
        <v>394</v>
      </c>
      <c r="B236" s="8">
        <v>45627</v>
      </c>
      <c r="C236" s="9" t="s">
        <v>138</v>
      </c>
      <c r="D236" s="9" t="s">
        <v>139</v>
      </c>
      <c r="E236" s="9" t="s">
        <v>49</v>
      </c>
      <c r="F236" s="9" t="s">
        <v>50</v>
      </c>
      <c r="G236" s="9" t="s">
        <v>51</v>
      </c>
      <c r="H236" s="9">
        <v>2</v>
      </c>
      <c r="I236" s="9">
        <v>149.99</v>
      </c>
      <c r="J236" s="9" t="s">
        <v>24</v>
      </c>
      <c r="K236" s="9" t="s">
        <v>55</v>
      </c>
      <c r="L236" s="9" t="s">
        <v>32</v>
      </c>
      <c r="M236" s="8">
        <v>44659</v>
      </c>
      <c r="N236" s="9">
        <v>299.98</v>
      </c>
      <c r="O236" s="20" t="str">
        <f>TEXT(CustomerData[[#This Row],[Date]],"mmm")</f>
        <v>Dec</v>
      </c>
      <c r="P236" s="9">
        <f>YEAR(CustomerData[[#This Row],[Date]])</f>
        <v>2024</v>
      </c>
      <c r="Q236" s="10">
        <f t="shared" ca="1" si="6"/>
        <v>1499</v>
      </c>
      <c r="R236" s="11" t="str">
        <f t="shared" si="7"/>
        <v>Low Value</v>
      </c>
    </row>
    <row r="237" spans="1:18" x14ac:dyDescent="0.35">
      <c r="A237" s="7" t="s">
        <v>395</v>
      </c>
      <c r="B237" s="8">
        <v>45628</v>
      </c>
      <c r="C237" s="9" t="s">
        <v>156</v>
      </c>
      <c r="D237" s="9" t="s">
        <v>157</v>
      </c>
      <c r="E237" s="9" t="s">
        <v>66</v>
      </c>
      <c r="F237" s="9" t="s">
        <v>67</v>
      </c>
      <c r="G237" s="9" t="s">
        <v>23</v>
      </c>
      <c r="H237" s="9">
        <v>3</v>
      </c>
      <c r="I237" s="9">
        <v>899.99</v>
      </c>
      <c r="J237" s="9" t="s">
        <v>62</v>
      </c>
      <c r="K237" s="9" t="s">
        <v>45</v>
      </c>
      <c r="L237" s="9" t="s">
        <v>32</v>
      </c>
      <c r="M237" s="8">
        <v>44660</v>
      </c>
      <c r="N237" s="9">
        <v>2699.97</v>
      </c>
      <c r="O237" s="20" t="str">
        <f>TEXT(CustomerData[[#This Row],[Date]],"mmm")</f>
        <v>Dec</v>
      </c>
      <c r="P237" s="9">
        <f>YEAR(CustomerData[[#This Row],[Date]])</f>
        <v>2024</v>
      </c>
      <c r="Q237" s="10">
        <f t="shared" ca="1" si="6"/>
        <v>1498</v>
      </c>
      <c r="R237" s="11" t="str">
        <f t="shared" si="7"/>
        <v>VIP Customer</v>
      </c>
    </row>
    <row r="238" spans="1:18" x14ac:dyDescent="0.35">
      <c r="A238" s="7" t="s">
        <v>396</v>
      </c>
      <c r="B238" s="8">
        <v>45629</v>
      </c>
      <c r="C238" s="9" t="s">
        <v>53</v>
      </c>
      <c r="D238" s="9" t="s">
        <v>54</v>
      </c>
      <c r="E238" s="9" t="s">
        <v>66</v>
      </c>
      <c r="F238" s="9" t="s">
        <v>67</v>
      </c>
      <c r="G238" s="9" t="s">
        <v>23</v>
      </c>
      <c r="H238" s="9">
        <v>3</v>
      </c>
      <c r="I238" s="9">
        <v>899.99</v>
      </c>
      <c r="J238" s="9" t="s">
        <v>39</v>
      </c>
      <c r="K238" s="9" t="s">
        <v>45</v>
      </c>
      <c r="L238" s="9" t="s">
        <v>26</v>
      </c>
      <c r="M238" s="8">
        <v>44661</v>
      </c>
      <c r="N238" s="9">
        <v>2699.97</v>
      </c>
      <c r="O238" s="20" t="str">
        <f>TEXT(CustomerData[[#This Row],[Date]],"mmm")</f>
        <v>Dec</v>
      </c>
      <c r="P238" s="9">
        <f>YEAR(CustomerData[[#This Row],[Date]])</f>
        <v>2024</v>
      </c>
      <c r="Q238" s="10">
        <f t="shared" ca="1" si="6"/>
        <v>1497</v>
      </c>
      <c r="R238" s="11" t="str">
        <f t="shared" si="7"/>
        <v>VIP Customer</v>
      </c>
    </row>
    <row r="239" spans="1:18" x14ac:dyDescent="0.35">
      <c r="A239" s="7" t="s">
        <v>397</v>
      </c>
      <c r="B239" s="8">
        <v>45630</v>
      </c>
      <c r="C239" s="9" t="s">
        <v>19</v>
      </c>
      <c r="D239" s="9" t="s">
        <v>20</v>
      </c>
      <c r="E239" s="9" t="s">
        <v>111</v>
      </c>
      <c r="F239" s="9" t="s">
        <v>112</v>
      </c>
      <c r="G239" s="9" t="s">
        <v>51</v>
      </c>
      <c r="H239" s="9">
        <v>3</v>
      </c>
      <c r="I239" s="9">
        <v>299.99</v>
      </c>
      <c r="J239" s="9" t="s">
        <v>31</v>
      </c>
      <c r="K239" s="9" t="s">
        <v>55</v>
      </c>
      <c r="L239" s="9" t="s">
        <v>32</v>
      </c>
      <c r="M239" s="8">
        <v>44662</v>
      </c>
      <c r="N239" s="9">
        <v>899.97</v>
      </c>
      <c r="O239" s="20" t="str">
        <f>TEXT(CustomerData[[#This Row],[Date]],"mmm")</f>
        <v>Dec</v>
      </c>
      <c r="P239" s="9">
        <f>YEAR(CustomerData[[#This Row],[Date]])</f>
        <v>2024</v>
      </c>
      <c r="Q239" s="10">
        <f t="shared" ca="1" si="6"/>
        <v>1496</v>
      </c>
      <c r="R239" s="11" t="str">
        <f t="shared" si="7"/>
        <v>Medium Value</v>
      </c>
    </row>
    <row r="240" spans="1:18" x14ac:dyDescent="0.35">
      <c r="A240" s="7" t="s">
        <v>398</v>
      </c>
      <c r="B240" s="8">
        <v>45631</v>
      </c>
      <c r="C240" s="9" t="s">
        <v>399</v>
      </c>
      <c r="D240" s="9" t="s">
        <v>400</v>
      </c>
      <c r="E240" s="9" t="s">
        <v>49</v>
      </c>
      <c r="F240" s="9" t="s">
        <v>50</v>
      </c>
      <c r="G240" s="9" t="s">
        <v>51</v>
      </c>
      <c r="H240" s="9">
        <v>4</v>
      </c>
      <c r="I240" s="9">
        <v>149.99</v>
      </c>
      <c r="J240" s="9" t="s">
        <v>39</v>
      </c>
      <c r="K240" s="9" t="s">
        <v>55</v>
      </c>
      <c r="L240" s="9" t="s">
        <v>41</v>
      </c>
      <c r="M240" s="8">
        <v>44663</v>
      </c>
      <c r="N240" s="9">
        <v>599.96</v>
      </c>
      <c r="O240" s="20" t="str">
        <f>TEXT(CustomerData[[#This Row],[Date]],"mmm")</f>
        <v>Dec</v>
      </c>
      <c r="P240" s="9">
        <f>YEAR(CustomerData[[#This Row],[Date]])</f>
        <v>2024</v>
      </c>
      <c r="Q240" s="10">
        <f t="shared" ca="1" si="6"/>
        <v>1495</v>
      </c>
      <c r="R240" s="11" t="str">
        <f t="shared" si="7"/>
        <v>Medium Value</v>
      </c>
    </row>
    <row r="241" spans="1:18" x14ac:dyDescent="0.35">
      <c r="A241" s="7" t="s">
        <v>401</v>
      </c>
      <c r="B241" s="8">
        <v>45632</v>
      </c>
      <c r="C241" s="9" t="s">
        <v>108</v>
      </c>
      <c r="D241" s="9" t="s">
        <v>109</v>
      </c>
      <c r="E241" s="9" t="s">
        <v>120</v>
      </c>
      <c r="F241" s="9" t="s">
        <v>121</v>
      </c>
      <c r="G241" s="9" t="s">
        <v>38</v>
      </c>
      <c r="H241" s="9">
        <v>4</v>
      </c>
      <c r="I241" s="9">
        <v>79.989999999999995</v>
      </c>
      <c r="J241" s="9" t="s">
        <v>31</v>
      </c>
      <c r="K241" s="9" t="s">
        <v>25</v>
      </c>
      <c r="L241" s="9" t="s">
        <v>26</v>
      </c>
      <c r="M241" s="8">
        <v>44664</v>
      </c>
      <c r="N241" s="9">
        <v>319.95999999999998</v>
      </c>
      <c r="O241" s="20" t="str">
        <f>TEXT(CustomerData[[#This Row],[Date]],"mmm")</f>
        <v>Dec</v>
      </c>
      <c r="P241" s="9">
        <f>YEAR(CustomerData[[#This Row],[Date]])</f>
        <v>2024</v>
      </c>
      <c r="Q241" s="10">
        <f t="shared" ca="1" si="6"/>
        <v>1494</v>
      </c>
      <c r="R241" s="11" t="str">
        <f t="shared" si="7"/>
        <v>Low Value</v>
      </c>
    </row>
    <row r="242" spans="1:18" x14ac:dyDescent="0.35">
      <c r="A242" s="7" t="s">
        <v>402</v>
      </c>
      <c r="B242" s="8">
        <v>45633</v>
      </c>
      <c r="C242" s="9" t="s">
        <v>193</v>
      </c>
      <c r="D242" s="9" t="s">
        <v>194</v>
      </c>
      <c r="E242" s="9" t="s">
        <v>123</v>
      </c>
      <c r="F242" s="9" t="s">
        <v>124</v>
      </c>
      <c r="G242" s="9" t="s">
        <v>23</v>
      </c>
      <c r="H242" s="9">
        <v>5</v>
      </c>
      <c r="I242" s="9">
        <v>89.99</v>
      </c>
      <c r="J242" s="9" t="s">
        <v>39</v>
      </c>
      <c r="K242" s="9" t="s">
        <v>40</v>
      </c>
      <c r="L242" s="9" t="s">
        <v>26</v>
      </c>
      <c r="M242" s="8">
        <v>44665</v>
      </c>
      <c r="N242" s="9">
        <v>449.95</v>
      </c>
      <c r="O242" s="20" t="str">
        <f>TEXT(CustomerData[[#This Row],[Date]],"mmm")</f>
        <v>Dec</v>
      </c>
      <c r="P242" s="9">
        <f>YEAR(CustomerData[[#This Row],[Date]])</f>
        <v>2024</v>
      </c>
      <c r="Q242" s="10">
        <f t="shared" ca="1" si="6"/>
        <v>1493</v>
      </c>
      <c r="R242" s="11" t="str">
        <f t="shared" si="7"/>
        <v>Low Value</v>
      </c>
    </row>
    <row r="243" spans="1:18" x14ac:dyDescent="0.35">
      <c r="A243" s="7" t="s">
        <v>403</v>
      </c>
      <c r="B243" s="8">
        <v>45634</v>
      </c>
      <c r="C243" s="9" t="s">
        <v>98</v>
      </c>
      <c r="D243" s="9" t="s">
        <v>99</v>
      </c>
      <c r="E243" s="9" t="s">
        <v>49</v>
      </c>
      <c r="F243" s="9" t="s">
        <v>50</v>
      </c>
      <c r="G243" s="9" t="s">
        <v>51</v>
      </c>
      <c r="H243" s="9">
        <v>3</v>
      </c>
      <c r="I243" s="9">
        <v>149.99</v>
      </c>
      <c r="J243" s="9" t="s">
        <v>39</v>
      </c>
      <c r="K243" s="9" t="s">
        <v>25</v>
      </c>
      <c r="L243" s="9" t="s">
        <v>41</v>
      </c>
      <c r="M243" s="8">
        <v>44666</v>
      </c>
      <c r="N243" s="9">
        <v>449.97</v>
      </c>
      <c r="O243" s="20" t="str">
        <f>TEXT(CustomerData[[#This Row],[Date]],"mmm")</f>
        <v>Dec</v>
      </c>
      <c r="P243" s="9">
        <f>YEAR(CustomerData[[#This Row],[Date]])</f>
        <v>2024</v>
      </c>
      <c r="Q243" s="10">
        <f t="shared" ca="1" si="6"/>
        <v>1492</v>
      </c>
      <c r="R243" s="11" t="str">
        <f t="shared" si="7"/>
        <v>Low Value</v>
      </c>
    </row>
    <row r="244" spans="1:18" x14ac:dyDescent="0.35">
      <c r="A244" s="7" t="s">
        <v>404</v>
      </c>
      <c r="B244" s="8">
        <v>45635</v>
      </c>
      <c r="C244" s="9" t="s">
        <v>70</v>
      </c>
      <c r="D244" s="9" t="s">
        <v>71</v>
      </c>
      <c r="E244" s="9" t="s">
        <v>123</v>
      </c>
      <c r="F244" s="9" t="s">
        <v>124</v>
      </c>
      <c r="G244" s="9" t="s">
        <v>23</v>
      </c>
      <c r="H244" s="9">
        <v>2</v>
      </c>
      <c r="I244" s="9">
        <v>89.99</v>
      </c>
      <c r="J244" s="9" t="s">
        <v>62</v>
      </c>
      <c r="K244" s="9" t="s">
        <v>55</v>
      </c>
      <c r="L244" s="9" t="s">
        <v>32</v>
      </c>
      <c r="M244" s="8">
        <v>44667</v>
      </c>
      <c r="N244" s="9">
        <v>179.98</v>
      </c>
      <c r="O244" s="20" t="str">
        <f>TEXT(CustomerData[[#This Row],[Date]],"mmm")</f>
        <v>Dec</v>
      </c>
      <c r="P244" s="9">
        <f>YEAR(CustomerData[[#This Row],[Date]])</f>
        <v>2024</v>
      </c>
      <c r="Q244" s="10">
        <f t="shared" ca="1" si="6"/>
        <v>1491</v>
      </c>
      <c r="R244" s="11" t="str">
        <f t="shared" si="7"/>
        <v>Low Value</v>
      </c>
    </row>
    <row r="245" spans="1:18" x14ac:dyDescent="0.35">
      <c r="A245" s="7" t="s">
        <v>405</v>
      </c>
      <c r="B245" s="8">
        <v>45636</v>
      </c>
      <c r="C245" s="9" t="s">
        <v>108</v>
      </c>
      <c r="D245" s="9" t="s">
        <v>109</v>
      </c>
      <c r="E245" s="9" t="s">
        <v>85</v>
      </c>
      <c r="F245" s="9" t="s">
        <v>86</v>
      </c>
      <c r="G245" s="9" t="s">
        <v>23</v>
      </c>
      <c r="H245" s="9">
        <v>2</v>
      </c>
      <c r="I245" s="9">
        <v>699.99</v>
      </c>
      <c r="J245" s="9" t="s">
        <v>39</v>
      </c>
      <c r="K245" s="9" t="s">
        <v>45</v>
      </c>
      <c r="L245" s="9" t="s">
        <v>41</v>
      </c>
      <c r="M245" s="8">
        <v>44668</v>
      </c>
      <c r="N245" s="9">
        <v>1399.98</v>
      </c>
      <c r="O245" s="20" t="str">
        <f>TEXT(CustomerData[[#This Row],[Date]],"mmm")</f>
        <v>Dec</v>
      </c>
      <c r="P245" s="9">
        <f>YEAR(CustomerData[[#This Row],[Date]])</f>
        <v>2024</v>
      </c>
      <c r="Q245" s="10">
        <f t="shared" ca="1" si="6"/>
        <v>1490</v>
      </c>
      <c r="R245" s="11" t="str">
        <f t="shared" si="7"/>
        <v>High Value</v>
      </c>
    </row>
    <row r="246" spans="1:18" x14ac:dyDescent="0.35">
      <c r="A246" s="7" t="s">
        <v>406</v>
      </c>
      <c r="B246" s="8">
        <v>45637</v>
      </c>
      <c r="C246" s="9" t="s">
        <v>129</v>
      </c>
      <c r="D246" s="9" t="s">
        <v>130</v>
      </c>
      <c r="E246" s="9" t="s">
        <v>66</v>
      </c>
      <c r="F246" s="9" t="s">
        <v>67</v>
      </c>
      <c r="G246" s="9" t="s">
        <v>23</v>
      </c>
      <c r="H246" s="9">
        <v>3</v>
      </c>
      <c r="I246" s="9">
        <v>899.99</v>
      </c>
      <c r="J246" s="9" t="s">
        <v>24</v>
      </c>
      <c r="K246" s="9" t="s">
        <v>25</v>
      </c>
      <c r="L246" s="9" t="s">
        <v>41</v>
      </c>
      <c r="M246" s="8">
        <v>44669</v>
      </c>
      <c r="N246" s="9">
        <v>2699.97</v>
      </c>
      <c r="O246" s="20" t="str">
        <f>TEXT(CustomerData[[#This Row],[Date]],"mmm")</f>
        <v>Dec</v>
      </c>
      <c r="P246" s="9">
        <f>YEAR(CustomerData[[#This Row],[Date]])</f>
        <v>2024</v>
      </c>
      <c r="Q246" s="10">
        <f t="shared" ca="1" si="6"/>
        <v>1489</v>
      </c>
      <c r="R246" s="11" t="str">
        <f t="shared" si="7"/>
        <v>VIP Customer</v>
      </c>
    </row>
    <row r="247" spans="1:18" x14ac:dyDescent="0.35">
      <c r="A247" s="7" t="s">
        <v>407</v>
      </c>
      <c r="B247" s="8">
        <v>45638</v>
      </c>
      <c r="C247" s="9" t="s">
        <v>98</v>
      </c>
      <c r="D247" s="9" t="s">
        <v>99</v>
      </c>
      <c r="E247" s="9" t="s">
        <v>120</v>
      </c>
      <c r="F247" s="9" t="s">
        <v>121</v>
      </c>
      <c r="G247" s="9" t="s">
        <v>38</v>
      </c>
      <c r="H247" s="9">
        <v>3</v>
      </c>
      <c r="I247" s="9">
        <v>79.989999999999995</v>
      </c>
      <c r="J247" s="9" t="s">
        <v>31</v>
      </c>
      <c r="K247" s="9" t="s">
        <v>45</v>
      </c>
      <c r="L247" s="9" t="s">
        <v>26</v>
      </c>
      <c r="M247" s="8">
        <v>44670</v>
      </c>
      <c r="N247" s="9">
        <v>239.97</v>
      </c>
      <c r="O247" s="20" t="str">
        <f>TEXT(CustomerData[[#This Row],[Date]],"mmm")</f>
        <v>Dec</v>
      </c>
      <c r="P247" s="9">
        <f>YEAR(CustomerData[[#This Row],[Date]])</f>
        <v>2024</v>
      </c>
      <c r="Q247" s="10">
        <f t="shared" ca="1" si="6"/>
        <v>1488</v>
      </c>
      <c r="R247" s="11" t="str">
        <f t="shared" si="7"/>
        <v>Low Value</v>
      </c>
    </row>
    <row r="248" spans="1:18" x14ac:dyDescent="0.35">
      <c r="A248" s="7" t="s">
        <v>408</v>
      </c>
      <c r="B248" s="8">
        <v>45639</v>
      </c>
      <c r="C248" s="9" t="s">
        <v>64</v>
      </c>
      <c r="D248" s="9" t="s">
        <v>65</v>
      </c>
      <c r="E248" s="9" t="s">
        <v>123</v>
      </c>
      <c r="F248" s="9" t="s">
        <v>124</v>
      </c>
      <c r="G248" s="9" t="s">
        <v>23</v>
      </c>
      <c r="H248" s="9">
        <v>1</v>
      </c>
      <c r="I248" s="9">
        <v>89.99</v>
      </c>
      <c r="J248" s="9" t="s">
        <v>62</v>
      </c>
      <c r="K248" s="9" t="s">
        <v>68</v>
      </c>
      <c r="L248" s="9" t="s">
        <v>26</v>
      </c>
      <c r="M248" s="8">
        <v>44671</v>
      </c>
      <c r="N248" s="9">
        <v>89.99</v>
      </c>
      <c r="O248" s="20" t="str">
        <f>TEXT(CustomerData[[#This Row],[Date]],"mmm")</f>
        <v>Dec</v>
      </c>
      <c r="P248" s="9">
        <f>YEAR(CustomerData[[#This Row],[Date]])</f>
        <v>2024</v>
      </c>
      <c r="Q248" s="10">
        <f t="shared" ca="1" si="6"/>
        <v>1487</v>
      </c>
      <c r="R248" s="11" t="str">
        <f t="shared" si="7"/>
        <v>Low Value</v>
      </c>
    </row>
    <row r="249" spans="1:18" x14ac:dyDescent="0.35">
      <c r="A249" s="7" t="s">
        <v>409</v>
      </c>
      <c r="B249" s="8">
        <v>45640</v>
      </c>
      <c r="C249" s="9" t="s">
        <v>305</v>
      </c>
      <c r="D249" s="9" t="s">
        <v>306</v>
      </c>
      <c r="E249" s="9" t="s">
        <v>85</v>
      </c>
      <c r="F249" s="9" t="s">
        <v>86</v>
      </c>
      <c r="G249" s="9" t="s">
        <v>23</v>
      </c>
      <c r="H249" s="9">
        <v>3</v>
      </c>
      <c r="I249" s="9">
        <v>699.99</v>
      </c>
      <c r="J249" s="9" t="s">
        <v>39</v>
      </c>
      <c r="K249" s="9" t="s">
        <v>45</v>
      </c>
      <c r="L249" s="9" t="s">
        <v>26</v>
      </c>
      <c r="M249" s="8">
        <v>44672</v>
      </c>
      <c r="N249" s="9">
        <v>2099.9699999999998</v>
      </c>
      <c r="O249" s="20" t="str">
        <f>TEXT(CustomerData[[#This Row],[Date]],"mmm")</f>
        <v>Dec</v>
      </c>
      <c r="P249" s="9">
        <f>YEAR(CustomerData[[#This Row],[Date]])</f>
        <v>2024</v>
      </c>
      <c r="Q249" s="10">
        <f t="shared" ca="1" si="6"/>
        <v>1486</v>
      </c>
      <c r="R249" s="11" t="str">
        <f t="shared" si="7"/>
        <v>VIP Customer</v>
      </c>
    </row>
    <row r="250" spans="1:18" x14ac:dyDescent="0.35">
      <c r="A250" s="7" t="s">
        <v>410</v>
      </c>
      <c r="B250" s="8">
        <v>45641</v>
      </c>
      <c r="C250" s="9" t="s">
        <v>235</v>
      </c>
      <c r="D250" s="9" t="s">
        <v>236</v>
      </c>
      <c r="E250" s="9" t="s">
        <v>123</v>
      </c>
      <c r="F250" s="9" t="s">
        <v>124</v>
      </c>
      <c r="G250" s="9" t="s">
        <v>23</v>
      </c>
      <c r="H250" s="9">
        <v>2</v>
      </c>
      <c r="I250" s="9">
        <v>89.99</v>
      </c>
      <c r="J250" s="9" t="s">
        <v>62</v>
      </c>
      <c r="K250" s="9" t="s">
        <v>68</v>
      </c>
      <c r="L250" s="9" t="s">
        <v>26</v>
      </c>
      <c r="M250" s="8">
        <v>44673</v>
      </c>
      <c r="N250" s="9">
        <v>179.98</v>
      </c>
      <c r="O250" s="20" t="str">
        <f>TEXT(CustomerData[[#This Row],[Date]],"mmm")</f>
        <v>Dec</v>
      </c>
      <c r="P250" s="9">
        <f>YEAR(CustomerData[[#This Row],[Date]])</f>
        <v>2024</v>
      </c>
      <c r="Q250" s="10">
        <f t="shared" ca="1" si="6"/>
        <v>1485</v>
      </c>
      <c r="R250" s="11" t="str">
        <f t="shared" si="7"/>
        <v>Low Value</v>
      </c>
    </row>
    <row r="251" spans="1:18" x14ac:dyDescent="0.35">
      <c r="A251" s="12" t="s">
        <v>411</v>
      </c>
      <c r="B251" s="13">
        <v>45642</v>
      </c>
      <c r="C251" s="14" t="s">
        <v>144</v>
      </c>
      <c r="D251" s="14" t="s">
        <v>145</v>
      </c>
      <c r="E251" s="14" t="s">
        <v>123</v>
      </c>
      <c r="F251" s="14" t="s">
        <v>124</v>
      </c>
      <c r="G251" s="14" t="s">
        <v>23</v>
      </c>
      <c r="H251" s="14">
        <v>3</v>
      </c>
      <c r="I251" s="14">
        <v>89.99</v>
      </c>
      <c r="J251" s="14" t="s">
        <v>62</v>
      </c>
      <c r="K251" s="14" t="s">
        <v>45</v>
      </c>
      <c r="L251" s="14" t="s">
        <v>32</v>
      </c>
      <c r="M251" s="13">
        <v>44674</v>
      </c>
      <c r="N251" s="14">
        <v>269.97000000000003</v>
      </c>
      <c r="O251" s="20" t="str">
        <f>TEXT(CustomerData[[#This Row],[Date]],"mmm")</f>
        <v>Dec</v>
      </c>
      <c r="P251" s="9">
        <f>YEAR(CustomerData[[#This Row],[Date]])</f>
        <v>2024</v>
      </c>
      <c r="Q251" s="15">
        <f t="shared" ca="1" si="6"/>
        <v>1484</v>
      </c>
      <c r="R251" s="16" t="str">
        <f t="shared" si="7"/>
        <v>Low Value</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39997558519241921"/>
  </sheetPr>
  <dimension ref="A1:N41"/>
  <sheetViews>
    <sheetView zoomScale="55" zoomScaleNormal="55" workbookViewId="0">
      <selection activeCell="R9" sqref="R9"/>
    </sheetView>
  </sheetViews>
  <sheetFormatPr defaultRowHeight="14.5" x14ac:dyDescent="0.35"/>
  <cols>
    <col min="1" max="1" width="15.54296875" customWidth="1"/>
    <col min="2" max="2" width="22" customWidth="1"/>
    <col min="3" max="3" width="16.08984375" customWidth="1"/>
    <col min="4" max="4" width="17.1796875" bestFit="1" customWidth="1"/>
    <col min="5" max="5" width="14.36328125" bestFit="1" customWidth="1"/>
    <col min="6" max="6" width="16.08984375" bestFit="1" customWidth="1"/>
    <col min="7" max="7" width="13.36328125" bestFit="1" customWidth="1"/>
    <col min="8" max="8" width="15" bestFit="1" customWidth="1"/>
    <col min="9" max="9" width="13.36328125" bestFit="1" customWidth="1"/>
    <col min="10" max="10" width="13" customWidth="1"/>
    <col min="11" max="11" width="13.36328125" bestFit="1" customWidth="1"/>
    <col min="12" max="12" width="12.7265625" bestFit="1" customWidth="1"/>
    <col min="13" max="13" width="13.36328125" bestFit="1" customWidth="1"/>
    <col min="14" max="14" width="12.7265625" bestFit="1" customWidth="1"/>
  </cols>
  <sheetData>
    <row r="1" spans="1:14" ht="26.5" customHeight="1" x14ac:dyDescent="0.75">
      <c r="A1" s="105"/>
      <c r="B1" s="106" t="s">
        <v>468</v>
      </c>
      <c r="C1" s="107"/>
      <c r="D1" s="107"/>
      <c r="E1" s="107"/>
      <c r="F1" s="107"/>
      <c r="G1" s="107"/>
      <c r="H1" s="107"/>
      <c r="I1" s="107"/>
      <c r="J1" s="107"/>
      <c r="K1" s="107"/>
      <c r="L1" s="107"/>
      <c r="M1" s="107"/>
      <c r="N1" s="108"/>
    </row>
    <row r="2" spans="1:14" ht="26.5" customHeight="1" thickBot="1" x14ac:dyDescent="0.6">
      <c r="A2" s="105"/>
      <c r="B2" s="92"/>
      <c r="C2" s="26"/>
      <c r="D2" s="27"/>
      <c r="E2" s="26"/>
      <c r="F2" s="26"/>
      <c r="G2" s="26"/>
      <c r="H2" s="26"/>
      <c r="I2" s="26"/>
      <c r="J2" s="26"/>
      <c r="K2" s="26"/>
      <c r="L2" s="26"/>
      <c r="M2" s="26"/>
      <c r="N2" s="58"/>
    </row>
    <row r="3" spans="1:14" ht="21.5" customHeight="1" x14ac:dyDescent="0.45">
      <c r="A3" s="21"/>
      <c r="B3" s="62" t="s">
        <v>412</v>
      </c>
      <c r="C3" s="63"/>
      <c r="D3" s="32"/>
      <c r="E3" s="40" t="s">
        <v>429</v>
      </c>
      <c r="F3" s="41"/>
      <c r="G3" s="41"/>
      <c r="H3" s="42"/>
      <c r="I3" s="39"/>
      <c r="J3" s="51" t="s">
        <v>433</v>
      </c>
      <c r="K3" s="52"/>
      <c r="L3" s="52"/>
      <c r="M3" s="53"/>
      <c r="N3" s="58"/>
    </row>
    <row r="4" spans="1:14" x14ac:dyDescent="0.35">
      <c r="A4" s="61"/>
      <c r="B4" s="64" t="s">
        <v>413</v>
      </c>
      <c r="C4" s="65">
        <f ca="1">TODAY()</f>
        <v>46158</v>
      </c>
      <c r="D4" s="27"/>
      <c r="E4" s="43" t="s">
        <v>430</v>
      </c>
      <c r="F4" s="44" t="s">
        <v>417</v>
      </c>
      <c r="G4" s="44" t="s">
        <v>431</v>
      </c>
      <c r="H4" s="45" t="s">
        <v>432</v>
      </c>
      <c r="I4" s="31"/>
      <c r="J4" s="54" t="s">
        <v>434</v>
      </c>
      <c r="K4" s="55" t="s">
        <v>417</v>
      </c>
      <c r="L4" s="55" t="s">
        <v>435</v>
      </c>
      <c r="M4" s="56" t="s">
        <v>431</v>
      </c>
      <c r="N4" s="58"/>
    </row>
    <row r="5" spans="1:14" x14ac:dyDescent="0.35">
      <c r="A5" s="61"/>
      <c r="B5" s="64" t="s">
        <v>428</v>
      </c>
      <c r="C5" s="35">
        <f ca="1">DATEDIF(MIN('Raw Data'!B2:B251), TODAY(), "D")</f>
        <v>765</v>
      </c>
      <c r="D5" s="27"/>
      <c r="E5" s="49" t="s">
        <v>92</v>
      </c>
      <c r="F5" s="26">
        <f>SUMIF('Raw Data'!D:D, E5, 'Raw Data'!N:N)</f>
        <v>15659.65</v>
      </c>
      <c r="G5" s="26">
        <f>COUNTIF('Raw Data'!D:D, E5)</f>
        <v>12</v>
      </c>
      <c r="H5" s="46">
        <f>IFERROR(F5/G5, 0)</f>
        <v>1304.9708333333333</v>
      </c>
      <c r="I5" s="26"/>
      <c r="J5" s="57" t="s">
        <v>67</v>
      </c>
      <c r="K5" s="26">
        <f>SUMIF('Raw Data'!F:F, J5, 'Raw Data'!N:N)</f>
        <v>67499.25</v>
      </c>
      <c r="L5" s="26">
        <f>SUMIF('Raw Data'!F:F, J5, 'Raw Data'!H:H)</f>
        <v>75</v>
      </c>
      <c r="M5" s="58">
        <f>COUNTIF('Raw Data'!F:F, J5)</f>
        <v>24</v>
      </c>
      <c r="N5" s="58"/>
    </row>
    <row r="6" spans="1:14" x14ac:dyDescent="0.35">
      <c r="A6" s="61"/>
      <c r="B6" s="64" t="s">
        <v>415</v>
      </c>
      <c r="C6" s="66">
        <f ca="1">EOMONTH(TODAY(),0)</f>
        <v>46173</v>
      </c>
      <c r="D6" s="27"/>
      <c r="E6" s="49" t="s">
        <v>130</v>
      </c>
      <c r="F6" s="26">
        <f>SUMIF('Raw Data'!D:D, E6, 'Raw Data'!N:N)</f>
        <v>11919.769999999999</v>
      </c>
      <c r="G6" s="26">
        <f>COUNTIF('Raw Data'!D:D, E6)</f>
        <v>6</v>
      </c>
      <c r="H6" s="46">
        <f t="shared" ref="H6:H19" si="0">IFERROR(F6/G6, 0)</f>
        <v>1986.6283333333331</v>
      </c>
      <c r="I6" s="26"/>
      <c r="J6" s="57" t="s">
        <v>86</v>
      </c>
      <c r="K6" s="26">
        <f>SUMIF('Raw Data'!F:F, J6, 'Raw Data'!N:N)</f>
        <v>67199.039999999994</v>
      </c>
      <c r="L6" s="26">
        <f>SUMIF('Raw Data'!F:F, J6, 'Raw Data'!H:H)</f>
        <v>96</v>
      </c>
      <c r="M6" s="58">
        <f>COUNTIF('Raw Data'!F:F, J6)</f>
        <v>31</v>
      </c>
      <c r="N6" s="58"/>
    </row>
    <row r="7" spans="1:14" ht="15" thickBot="1" x14ac:dyDescent="0.4">
      <c r="A7" s="61"/>
      <c r="B7" s="67" t="s">
        <v>414</v>
      </c>
      <c r="C7" s="68">
        <f ca="1">NOW()</f>
        <v>46158.466387384258</v>
      </c>
      <c r="D7" s="36"/>
      <c r="E7" s="49" t="s">
        <v>71</v>
      </c>
      <c r="F7" s="26">
        <f>SUMIF('Raw Data'!D:D, E7, 'Raw Data'!N:N)</f>
        <v>8009.7699999999995</v>
      </c>
      <c r="G7" s="26">
        <f>COUNTIF('Raw Data'!D:D, E7)</f>
        <v>8</v>
      </c>
      <c r="H7" s="46">
        <f t="shared" si="0"/>
        <v>1001.2212499999999</v>
      </c>
      <c r="I7" s="26"/>
      <c r="J7" s="57" t="s">
        <v>58</v>
      </c>
      <c r="K7" s="26">
        <f>SUMIF('Raw Data'!F:F, J7, 'Raw Data'!N:N)</f>
        <v>7049.5299999999988</v>
      </c>
      <c r="L7" s="26">
        <f>SUMIF('Raw Data'!F:F, J7, 'Raw Data'!H:H)</f>
        <v>47</v>
      </c>
      <c r="M7" s="58">
        <f>COUNTIF('Raw Data'!F:F, J7)</f>
        <v>16</v>
      </c>
      <c r="N7" s="58"/>
    </row>
    <row r="8" spans="1:14" x14ac:dyDescent="0.35">
      <c r="A8" s="21"/>
      <c r="B8" s="109"/>
      <c r="C8" s="26"/>
      <c r="D8" s="26"/>
      <c r="E8" s="49" t="s">
        <v>102</v>
      </c>
      <c r="F8" s="26">
        <f>SUMIF('Raw Data'!D:D, E8, 'Raw Data'!N:N)</f>
        <v>10649.8</v>
      </c>
      <c r="G8" s="26">
        <f>COUNTIF('Raw Data'!D:D, E8)</f>
        <v>5</v>
      </c>
      <c r="H8" s="46">
        <f t="shared" si="0"/>
        <v>2129.96</v>
      </c>
      <c r="I8" s="26"/>
      <c r="J8" s="57" t="s">
        <v>121</v>
      </c>
      <c r="K8" s="26">
        <f>SUMIF('Raw Data'!F:F, J8, 'Raw Data'!N:N)</f>
        <v>3119.6099999999992</v>
      </c>
      <c r="L8" s="26">
        <f>SUMIF('Raw Data'!F:F, J8, 'Raw Data'!H:H)</f>
        <v>39</v>
      </c>
      <c r="M8" s="58">
        <f>COUNTIF('Raw Data'!F:F, J8)</f>
        <v>14</v>
      </c>
      <c r="N8" s="58"/>
    </row>
    <row r="9" spans="1:14" ht="18.5" customHeight="1" thickBot="1" x14ac:dyDescent="0.4">
      <c r="A9" s="21"/>
      <c r="B9" s="110"/>
      <c r="C9" s="30"/>
      <c r="D9" s="28"/>
      <c r="E9" s="49" t="s">
        <v>30</v>
      </c>
      <c r="F9" s="26">
        <f>SUMIF('Raw Data'!D:D, E9, 'Raw Data'!N:N)</f>
        <v>6949.84</v>
      </c>
      <c r="G9" s="26">
        <f>COUNTIF('Raw Data'!D:D, E9)</f>
        <v>5</v>
      </c>
      <c r="H9" s="46">
        <f t="shared" si="0"/>
        <v>1389.9680000000001</v>
      </c>
      <c r="I9" s="26"/>
      <c r="J9" s="57" t="s">
        <v>37</v>
      </c>
      <c r="K9" s="26">
        <f>SUMIF('Raw Data'!F:F, J9, 'Raw Data'!N:N)</f>
        <v>5219.1299999999974</v>
      </c>
      <c r="L9" s="26">
        <f>SUMIF('Raw Data'!F:F, J9, 'Raw Data'!H:H)</f>
        <v>87</v>
      </c>
      <c r="M9" s="58">
        <f>COUNTIF('Raw Data'!F:F, J9)</f>
        <v>29</v>
      </c>
      <c r="N9" s="58"/>
    </row>
    <row r="10" spans="1:14" ht="15.5" x14ac:dyDescent="0.35">
      <c r="A10" s="21"/>
      <c r="B10" s="33" t="s">
        <v>416</v>
      </c>
      <c r="C10" s="34"/>
      <c r="D10" s="27"/>
      <c r="E10" s="49" t="s">
        <v>20</v>
      </c>
      <c r="F10" s="26">
        <f>SUMIF('Raw Data'!D:D, E10, 'Raw Data'!N:N)</f>
        <v>8309.739999999998</v>
      </c>
      <c r="G10" s="26">
        <f>COUNTIF('Raw Data'!D:D, E10)</f>
        <v>8</v>
      </c>
      <c r="H10" s="46">
        <f t="shared" si="0"/>
        <v>1038.7174999999997</v>
      </c>
      <c r="I10" s="26"/>
      <c r="J10" s="57" t="s">
        <v>133</v>
      </c>
      <c r="K10" s="26">
        <f>SUMIF('Raw Data'!F:F, J10, 'Raw Data'!N:N)</f>
        <v>10399.479999999998</v>
      </c>
      <c r="L10" s="26">
        <f>SUMIF('Raw Data'!F:F, J10, 'Raw Data'!H:H)</f>
        <v>52</v>
      </c>
      <c r="M10" s="58">
        <f>COUNTIF('Raw Data'!F:F, J10)</f>
        <v>15</v>
      </c>
      <c r="N10" s="58"/>
    </row>
    <row r="11" spans="1:14" ht="15.5" x14ac:dyDescent="0.35">
      <c r="A11" s="21"/>
      <c r="B11" s="71" t="s">
        <v>417</v>
      </c>
      <c r="C11" s="72">
        <f>SUM('Raw Data'!N:N)</f>
        <v>229192.47000000032</v>
      </c>
      <c r="D11" s="27"/>
      <c r="E11" s="49" t="s">
        <v>166</v>
      </c>
      <c r="F11" s="26">
        <f>SUMIF('Raw Data'!D:D, E11, 'Raw Data'!N:N)</f>
        <v>5649.84</v>
      </c>
      <c r="G11" s="26">
        <f>COUNTIF('Raw Data'!D:D, E11)</f>
        <v>5</v>
      </c>
      <c r="H11" s="46">
        <f t="shared" si="0"/>
        <v>1129.9680000000001</v>
      </c>
      <c r="I11" s="26"/>
      <c r="J11" s="57" t="s">
        <v>112</v>
      </c>
      <c r="K11" s="26">
        <f>SUMIF('Raw Data'!F:F, J11, 'Raw Data'!N:N)</f>
        <v>23399.22</v>
      </c>
      <c r="L11" s="26">
        <f>SUMIF('Raw Data'!F:F, J11, 'Raw Data'!H:H)</f>
        <v>78</v>
      </c>
      <c r="M11" s="58">
        <f>COUNTIF('Raw Data'!F:F, J11)</f>
        <v>26</v>
      </c>
      <c r="N11" s="58"/>
    </row>
    <row r="12" spans="1:14" ht="15.5" x14ac:dyDescent="0.35">
      <c r="A12" s="21"/>
      <c r="B12" s="71" t="s">
        <v>418</v>
      </c>
      <c r="C12" s="72">
        <f>COUNTA('Raw Data'!A:A)</f>
        <v>251</v>
      </c>
      <c r="D12" s="36"/>
      <c r="E12" s="49" t="s">
        <v>127</v>
      </c>
      <c r="F12" s="26">
        <f>SUMIF('Raw Data'!D:D, E12, 'Raw Data'!N:N)</f>
        <v>6459.79</v>
      </c>
      <c r="G12" s="26">
        <f>COUNTIF('Raw Data'!D:D, E12)</f>
        <v>7</v>
      </c>
      <c r="H12" s="46">
        <f t="shared" si="0"/>
        <v>922.8271428571428</v>
      </c>
      <c r="I12" s="26"/>
      <c r="J12" s="57" t="s">
        <v>50</v>
      </c>
      <c r="K12" s="26">
        <f>SUMIF('Raw Data'!F:F, J12, 'Raw Data'!N:N)</f>
        <v>15298.979999999994</v>
      </c>
      <c r="L12" s="26">
        <f>SUMIF('Raw Data'!F:F, J12, 'Raw Data'!H:H)</f>
        <v>102</v>
      </c>
      <c r="M12" s="58">
        <f>COUNTIF('Raw Data'!F:F, J12)</f>
        <v>35</v>
      </c>
      <c r="N12" s="58"/>
    </row>
    <row r="13" spans="1:14" ht="18.5" x14ac:dyDescent="0.45">
      <c r="A13" s="25"/>
      <c r="B13" s="71" t="s">
        <v>419</v>
      </c>
      <c r="C13" s="73">
        <f>AVERAGE('Raw Data'!N:N)</f>
        <v>916.76988000000131</v>
      </c>
      <c r="D13" s="69"/>
      <c r="E13" s="49" t="s">
        <v>154</v>
      </c>
      <c r="F13" s="26">
        <f>SUMIF('Raw Data'!D:D, E13, 'Raw Data'!N:N)</f>
        <v>7309.7999999999993</v>
      </c>
      <c r="G13" s="26">
        <f>COUNTIF('Raw Data'!D:D, E13)</f>
        <v>7</v>
      </c>
      <c r="H13" s="46">
        <f t="shared" si="0"/>
        <v>1044.2571428571428</v>
      </c>
      <c r="I13" s="26"/>
      <c r="J13" s="57" t="s">
        <v>22</v>
      </c>
      <c r="K13" s="26">
        <f>SUMIF('Raw Data'!F:F, J13, 'Raw Data'!N:N)</f>
        <v>21999.119999999999</v>
      </c>
      <c r="L13" s="26">
        <f>SUMIF('Raw Data'!F:F, J13, 'Raw Data'!H:H)</f>
        <v>88</v>
      </c>
      <c r="M13" s="58">
        <f>COUNTIF('Raw Data'!F:F, J13)</f>
        <v>26</v>
      </c>
      <c r="N13" s="58"/>
    </row>
    <row r="14" spans="1:14" ht="16" thickBot="1" x14ac:dyDescent="0.4">
      <c r="A14" s="21"/>
      <c r="B14" s="71" t="s">
        <v>420</v>
      </c>
      <c r="C14" s="72">
        <f>MAX('Raw Data'!N:N)</f>
        <v>4499.95</v>
      </c>
      <c r="D14" s="27"/>
      <c r="E14" s="49" t="s">
        <v>236</v>
      </c>
      <c r="F14" s="26">
        <f>SUMIF('Raw Data'!D:D, E14, 'Raw Data'!N:N)</f>
        <v>6989.7699999999986</v>
      </c>
      <c r="G14" s="26">
        <f>COUNTIF('Raw Data'!D:D, E14)</f>
        <v>8</v>
      </c>
      <c r="H14" s="46">
        <f t="shared" si="0"/>
        <v>873.72124999999983</v>
      </c>
      <c r="I14" s="26"/>
      <c r="J14" s="59" t="s">
        <v>124</v>
      </c>
      <c r="K14" s="47">
        <f>SUMIF('Raw Data'!F:F, J14, 'Raw Data'!N:N)</f>
        <v>8009.1099999999969</v>
      </c>
      <c r="L14" s="47">
        <f>SUMIF('Raw Data'!F:F, J14, 'Raw Data'!H:H)</f>
        <v>89</v>
      </c>
      <c r="M14" s="60">
        <f>COUNTIF('Raw Data'!F:F, J14)</f>
        <v>34</v>
      </c>
      <c r="N14" s="58"/>
    </row>
    <row r="15" spans="1:14" ht="15.5" x14ac:dyDescent="0.35">
      <c r="A15" s="21"/>
      <c r="B15" s="71" t="s">
        <v>421</v>
      </c>
      <c r="C15" s="72">
        <f>MIN('Raw Data'!N:N)</f>
        <v>59.99</v>
      </c>
      <c r="D15" s="27"/>
      <c r="E15" s="49" t="s">
        <v>78</v>
      </c>
      <c r="F15" s="26">
        <f>SUMIF('Raw Data'!D:D, E15, 'Raw Data'!N:N)</f>
        <v>5949.85</v>
      </c>
      <c r="G15" s="26">
        <f>COUNTIF('Raw Data'!D:D, E15)</f>
        <v>5</v>
      </c>
      <c r="H15" s="46">
        <f t="shared" si="0"/>
        <v>1189.97</v>
      </c>
      <c r="I15" s="26"/>
      <c r="J15" s="26"/>
      <c r="K15" s="26"/>
      <c r="L15" s="26"/>
      <c r="M15" s="26"/>
      <c r="N15" s="58"/>
    </row>
    <row r="16" spans="1:14" ht="15.5" x14ac:dyDescent="0.35">
      <c r="A16" s="21"/>
      <c r="B16" s="71" t="s">
        <v>422</v>
      </c>
      <c r="C16" s="72">
        <f>SUM('Raw Data'!H:H)</f>
        <v>753</v>
      </c>
      <c r="D16" s="27"/>
      <c r="E16" s="49" t="s">
        <v>151</v>
      </c>
      <c r="F16" s="26">
        <f>SUMIF('Raw Data'!D:D, E16, 'Raw Data'!N:N)</f>
        <v>5519.8899999999994</v>
      </c>
      <c r="G16" s="26">
        <f>COUNTIF('Raw Data'!D:D, E16)</f>
        <v>4</v>
      </c>
      <c r="H16" s="46">
        <f t="shared" si="0"/>
        <v>1379.9724999999999</v>
      </c>
      <c r="I16" s="26"/>
      <c r="J16" s="26"/>
      <c r="K16" s="26"/>
      <c r="L16" s="26"/>
      <c r="M16" s="26"/>
      <c r="N16" s="58"/>
    </row>
    <row r="17" spans="1:14" ht="15.5" x14ac:dyDescent="0.35">
      <c r="A17" s="21"/>
      <c r="B17" s="71" t="s">
        <v>423</v>
      </c>
      <c r="C17" s="72" cm="1">
        <f t="array" ref="C17">SUMPRODUCT(1/COUNTIF('Raw Data'!C2:C251,'Raw Data'!C2:C251))</f>
        <v>50.000000000000028</v>
      </c>
      <c r="D17" s="27"/>
      <c r="E17" s="49" t="s">
        <v>54</v>
      </c>
      <c r="F17" s="26">
        <f>SUMIF('Raw Data'!D:D, E17, 'Raw Data'!N:N)</f>
        <v>8269.7900000000009</v>
      </c>
      <c r="G17" s="26">
        <f>COUNTIF('Raw Data'!D:D, E17)</f>
        <v>6</v>
      </c>
      <c r="H17" s="46">
        <f t="shared" si="0"/>
        <v>1378.2983333333334</v>
      </c>
      <c r="I17" s="26"/>
      <c r="J17" s="26"/>
      <c r="K17" s="26"/>
      <c r="L17" s="26"/>
      <c r="M17" s="26"/>
      <c r="N17" s="58"/>
    </row>
    <row r="18" spans="1:14" ht="15.5" x14ac:dyDescent="0.35">
      <c r="A18" s="21"/>
      <c r="B18" s="71" t="s">
        <v>424</v>
      </c>
      <c r="C18" s="72">
        <f>SUMIF('Raw Data'!L:L,"Premium",'Raw Data'!N:N)</f>
        <v>84657.12000000001</v>
      </c>
      <c r="D18" s="36"/>
      <c r="E18" s="49" t="s">
        <v>205</v>
      </c>
      <c r="F18" s="26">
        <f>SUMIF('Raw Data'!D:D, E18, 'Raw Data'!N:N)</f>
        <v>6379.87</v>
      </c>
      <c r="G18" s="26">
        <f>COUNTIF('Raw Data'!D:D, E18)</f>
        <v>4</v>
      </c>
      <c r="H18" s="46">
        <f t="shared" si="0"/>
        <v>1594.9675</v>
      </c>
      <c r="I18" s="26"/>
      <c r="J18" s="26"/>
      <c r="K18" s="26"/>
      <c r="L18" s="26"/>
      <c r="M18" s="26"/>
      <c r="N18" s="58"/>
    </row>
    <row r="19" spans="1:14" ht="16" thickBot="1" x14ac:dyDescent="0.4">
      <c r="A19" s="21"/>
      <c r="B19" s="71" t="s">
        <v>425</v>
      </c>
      <c r="C19" s="74">
        <f>SUMIF('Raw Data'!G:G,"Electronics",'Raw Data'!N:N)</f>
        <v>171756.05000000013</v>
      </c>
      <c r="D19" s="70"/>
      <c r="E19" s="50" t="s">
        <v>105</v>
      </c>
      <c r="F19" s="47">
        <f>SUMIF('Raw Data'!D:D, E19, 'Raw Data'!N:N)</f>
        <v>9799.73</v>
      </c>
      <c r="G19" s="47">
        <f>COUNTIF('Raw Data'!D:D, E19)</f>
        <v>8</v>
      </c>
      <c r="H19" s="48">
        <f t="shared" si="0"/>
        <v>1224.9662499999999</v>
      </c>
      <c r="I19" s="26"/>
      <c r="J19" s="26"/>
      <c r="K19" s="26"/>
      <c r="L19" s="26"/>
      <c r="M19" s="26"/>
      <c r="N19" s="58"/>
    </row>
    <row r="20" spans="1:14" ht="15.5" x14ac:dyDescent="0.35">
      <c r="A20" s="21"/>
      <c r="B20" s="71" t="s">
        <v>426</v>
      </c>
      <c r="C20" s="75">
        <f>SUMIF('Raw Data'!G:G,"Furniture",'Raw Data'!N:N)</f>
        <v>49097.680000000015</v>
      </c>
      <c r="D20" s="23"/>
      <c r="E20" s="22"/>
      <c r="F20" s="26"/>
      <c r="G20" s="26"/>
      <c r="H20" s="26"/>
      <c r="I20" s="26"/>
      <c r="J20" s="26"/>
      <c r="K20" s="26"/>
      <c r="L20" s="26"/>
      <c r="M20" s="26"/>
      <c r="N20" s="58"/>
    </row>
    <row r="21" spans="1:14" ht="16" thickBot="1" x14ac:dyDescent="0.4">
      <c r="A21" s="21"/>
      <c r="B21" s="76" t="s">
        <v>427</v>
      </c>
      <c r="C21" s="77">
        <f>SUMIF('Raw Data'!G:G,"Appliances",'Raw Data'!N:N)</f>
        <v>8338.7399999999961</v>
      </c>
      <c r="D21" s="29"/>
      <c r="E21" s="1"/>
      <c r="F21" s="26"/>
      <c r="G21" s="26"/>
      <c r="H21" s="26"/>
      <c r="I21" s="26"/>
      <c r="J21" s="26"/>
      <c r="K21" s="26"/>
      <c r="L21" s="26"/>
      <c r="M21" s="26"/>
      <c r="N21" s="58"/>
    </row>
    <row r="22" spans="1:14" ht="13.5" customHeight="1" thickBot="1" x14ac:dyDescent="0.4">
      <c r="A22" s="21"/>
      <c r="B22" s="111"/>
      <c r="C22" s="38"/>
      <c r="D22" s="37"/>
      <c r="E22" s="1"/>
      <c r="F22" s="26"/>
      <c r="G22" s="26"/>
      <c r="H22" s="26"/>
      <c r="I22" s="26"/>
      <c r="J22" s="26"/>
      <c r="K22" s="26"/>
      <c r="L22" s="26"/>
      <c r="M22" s="26"/>
      <c r="N22" s="58"/>
    </row>
    <row r="23" spans="1:14" ht="19.5" customHeight="1" x14ac:dyDescent="0.5">
      <c r="A23" s="21"/>
      <c r="B23" s="40" t="s">
        <v>436</v>
      </c>
      <c r="C23" s="41"/>
      <c r="D23" s="42"/>
      <c r="E23" s="27"/>
      <c r="F23" s="87" t="s">
        <v>467</v>
      </c>
      <c r="G23" s="88"/>
      <c r="H23" s="88"/>
      <c r="I23" s="88"/>
      <c r="J23" s="88"/>
      <c r="K23" s="88"/>
      <c r="L23" s="88"/>
      <c r="M23" s="88"/>
      <c r="N23" s="89"/>
    </row>
    <row r="24" spans="1:14" x14ac:dyDescent="0.35">
      <c r="A24" s="21"/>
      <c r="B24" s="78" t="s">
        <v>437</v>
      </c>
      <c r="C24" s="79" t="s">
        <v>438</v>
      </c>
      <c r="D24" s="80" t="s">
        <v>439</v>
      </c>
      <c r="E24" s="27"/>
      <c r="F24" s="90" t="s">
        <v>443</v>
      </c>
      <c r="G24" s="91"/>
      <c r="H24" s="91"/>
      <c r="I24" s="91"/>
      <c r="J24" s="91"/>
      <c r="K24" s="91"/>
      <c r="L24" s="91"/>
      <c r="M24" s="91"/>
      <c r="N24" s="104"/>
    </row>
    <row r="25" spans="1:14" ht="15" thickBot="1" x14ac:dyDescent="0.4">
      <c r="B25" s="57" t="s">
        <v>440</v>
      </c>
      <c r="C25" s="81">
        <v>0.05</v>
      </c>
      <c r="D25" s="46">
        <f>C11*(1+C25)</f>
        <v>240652.09350000034</v>
      </c>
      <c r="E25" s="26"/>
      <c r="F25" s="92"/>
      <c r="G25" s="26"/>
      <c r="H25" s="26"/>
      <c r="I25" s="26"/>
      <c r="J25" s="26"/>
      <c r="K25" s="26"/>
      <c r="L25" s="26"/>
      <c r="M25" s="26"/>
      <c r="N25" s="58"/>
    </row>
    <row r="26" spans="1:14" x14ac:dyDescent="0.35">
      <c r="B26" s="57" t="s">
        <v>441</v>
      </c>
      <c r="C26" s="81">
        <v>0.12</v>
      </c>
      <c r="D26" s="46">
        <f>C11*(1+C26)</f>
        <v>256695.56640000039</v>
      </c>
      <c r="E26" s="26"/>
      <c r="F26" s="93" t="s">
        <v>444</v>
      </c>
      <c r="G26" s="86"/>
      <c r="H26" s="18"/>
      <c r="I26" s="26"/>
      <c r="J26" s="26"/>
      <c r="K26" s="26"/>
      <c r="L26" s="26"/>
      <c r="M26" s="26"/>
      <c r="N26" s="58"/>
    </row>
    <row r="27" spans="1:14" ht="15" thickBot="1" x14ac:dyDescent="0.4">
      <c r="B27" s="59" t="s">
        <v>442</v>
      </c>
      <c r="C27" s="82">
        <v>0.2</v>
      </c>
      <c r="D27" s="48">
        <f>C11*(1+C27)</f>
        <v>275030.96400000039</v>
      </c>
      <c r="E27" s="26"/>
      <c r="F27" s="94" t="s">
        <v>445</v>
      </c>
      <c r="G27" s="100">
        <v>0.45809869406349091</v>
      </c>
      <c r="H27" s="26"/>
      <c r="I27" s="26"/>
      <c r="J27" s="26"/>
      <c r="K27" s="26"/>
      <c r="L27" s="26"/>
      <c r="M27" s="26"/>
      <c r="N27" s="58"/>
    </row>
    <row r="28" spans="1:14" x14ac:dyDescent="0.35">
      <c r="B28" s="92"/>
      <c r="C28" s="26"/>
      <c r="D28" s="26"/>
      <c r="E28" s="26"/>
      <c r="F28" s="94" t="s">
        <v>446</v>
      </c>
      <c r="G28" s="101">
        <v>0.20985441350267586</v>
      </c>
      <c r="H28" s="26"/>
      <c r="I28" s="26"/>
      <c r="J28" s="26"/>
      <c r="K28" s="26"/>
      <c r="L28" s="26"/>
      <c r="M28" s="26"/>
      <c r="N28" s="58"/>
    </row>
    <row r="29" spans="1:14" x14ac:dyDescent="0.35">
      <c r="B29" s="92"/>
      <c r="C29" s="26"/>
      <c r="D29" s="26"/>
      <c r="E29" s="26"/>
      <c r="F29" s="94" t="s">
        <v>447</v>
      </c>
      <c r="G29" s="101">
        <v>0.20665544351685675</v>
      </c>
      <c r="H29" s="26"/>
      <c r="I29" s="26"/>
      <c r="J29" s="26"/>
      <c r="K29" s="26"/>
      <c r="L29" s="26"/>
      <c r="M29" s="26"/>
      <c r="N29" s="58"/>
    </row>
    <row r="30" spans="1:14" x14ac:dyDescent="0.35">
      <c r="B30" s="92"/>
      <c r="C30" s="26"/>
      <c r="D30" s="26"/>
      <c r="E30" s="26"/>
      <c r="F30" s="94" t="s">
        <v>448</v>
      </c>
      <c r="G30" s="101">
        <v>921.40854264214693</v>
      </c>
      <c r="H30" s="26"/>
      <c r="I30" s="26"/>
      <c r="J30" s="26"/>
      <c r="K30" s="26"/>
      <c r="L30" s="26"/>
      <c r="M30" s="26"/>
      <c r="N30" s="58"/>
    </row>
    <row r="31" spans="1:14" ht="15" thickBot="1" x14ac:dyDescent="0.4">
      <c r="B31" s="92"/>
      <c r="C31" s="26"/>
      <c r="D31" s="26"/>
      <c r="E31" s="26"/>
      <c r="F31" s="95" t="s">
        <v>449</v>
      </c>
      <c r="G31" s="102">
        <v>249</v>
      </c>
      <c r="H31" s="26"/>
      <c r="I31" s="26"/>
      <c r="J31" s="26"/>
      <c r="K31" s="26"/>
      <c r="L31" s="26"/>
      <c r="M31" s="26"/>
      <c r="N31" s="58"/>
    </row>
    <row r="32" spans="1:14" x14ac:dyDescent="0.35">
      <c r="B32" s="92"/>
      <c r="C32" s="26"/>
      <c r="D32" s="26"/>
      <c r="E32" s="26"/>
      <c r="F32" s="92"/>
      <c r="G32" s="26"/>
      <c r="H32" s="26"/>
      <c r="I32" s="26"/>
      <c r="J32" s="26"/>
      <c r="K32" s="26"/>
      <c r="L32" s="26"/>
      <c r="M32" s="26"/>
      <c r="N32" s="58"/>
    </row>
    <row r="33" spans="2:14" ht="15" thickBot="1" x14ac:dyDescent="0.4">
      <c r="B33" s="92"/>
      <c r="C33" s="26"/>
      <c r="D33" s="26"/>
      <c r="E33" s="26"/>
      <c r="F33" s="92" t="s">
        <v>450</v>
      </c>
      <c r="G33" s="26"/>
      <c r="H33" s="26"/>
      <c r="I33" s="26"/>
      <c r="J33" s="26"/>
      <c r="K33" s="26"/>
      <c r="L33" s="26"/>
      <c r="M33" s="26"/>
      <c r="N33" s="58"/>
    </row>
    <row r="34" spans="2:14" x14ac:dyDescent="0.35">
      <c r="B34" s="92"/>
      <c r="C34" s="26"/>
      <c r="D34" s="26"/>
      <c r="E34" s="26"/>
      <c r="F34" s="96"/>
      <c r="G34" s="85" t="s">
        <v>455</v>
      </c>
      <c r="H34" s="85" t="s">
        <v>456</v>
      </c>
      <c r="I34" s="85" t="s">
        <v>457</v>
      </c>
      <c r="J34" s="85" t="s">
        <v>458</v>
      </c>
      <c r="K34" s="103" t="s">
        <v>459</v>
      </c>
      <c r="L34" s="26"/>
      <c r="M34" s="26"/>
      <c r="N34" s="58"/>
    </row>
    <row r="35" spans="2:14" x14ac:dyDescent="0.35">
      <c r="B35" s="92"/>
      <c r="C35" s="26"/>
      <c r="D35" s="26"/>
      <c r="E35" s="26"/>
      <c r="F35" s="94" t="s">
        <v>451</v>
      </c>
      <c r="G35" s="83">
        <v>1</v>
      </c>
      <c r="H35" s="83">
        <v>55694513.010666132</v>
      </c>
      <c r="I35" s="83">
        <v>55694513.010666132</v>
      </c>
      <c r="J35" s="83">
        <v>65.600619709765951</v>
      </c>
      <c r="K35" s="101">
        <v>2.5391277291094679E-14</v>
      </c>
      <c r="L35" s="26"/>
      <c r="M35" s="26"/>
      <c r="N35" s="58"/>
    </row>
    <row r="36" spans="2:14" x14ac:dyDescent="0.35">
      <c r="B36" s="92"/>
      <c r="C36" s="26"/>
      <c r="D36" s="26"/>
      <c r="E36" s="26"/>
      <c r="F36" s="94" t="s">
        <v>452</v>
      </c>
      <c r="G36" s="83">
        <v>247</v>
      </c>
      <c r="H36" s="83">
        <v>209701444.50611952</v>
      </c>
      <c r="I36" s="83">
        <v>848993.70245392516</v>
      </c>
      <c r="J36" s="83"/>
      <c r="K36" s="101"/>
      <c r="L36" s="26"/>
      <c r="M36" s="26"/>
      <c r="N36" s="58"/>
    </row>
    <row r="37" spans="2:14" ht="15" thickBot="1" x14ac:dyDescent="0.4">
      <c r="B37" s="92"/>
      <c r="C37" s="26"/>
      <c r="D37" s="26"/>
      <c r="E37" s="26"/>
      <c r="F37" s="95" t="s">
        <v>453</v>
      </c>
      <c r="G37" s="84">
        <v>248</v>
      </c>
      <c r="H37" s="84">
        <v>265395957.51678565</v>
      </c>
      <c r="I37" s="84"/>
      <c r="J37" s="84"/>
      <c r="K37" s="102"/>
      <c r="L37" s="26"/>
      <c r="M37" s="26"/>
      <c r="N37" s="58"/>
    </row>
    <row r="38" spans="2:14" ht="15" thickBot="1" x14ac:dyDescent="0.4">
      <c r="B38" s="92"/>
      <c r="C38" s="26"/>
      <c r="D38" s="26"/>
      <c r="E38" s="26"/>
      <c r="F38" s="92"/>
      <c r="G38" s="26"/>
      <c r="H38" s="26"/>
      <c r="I38" s="26"/>
      <c r="J38" s="26"/>
      <c r="K38" s="26"/>
      <c r="L38" s="26"/>
      <c r="M38" s="26"/>
      <c r="N38" s="58"/>
    </row>
    <row r="39" spans="2:14" x14ac:dyDescent="0.35">
      <c r="B39" s="92"/>
      <c r="C39" s="26"/>
      <c r="D39" s="26"/>
      <c r="E39" s="26"/>
      <c r="F39" s="96"/>
      <c r="G39" s="85" t="s">
        <v>460</v>
      </c>
      <c r="H39" s="85" t="s">
        <v>448</v>
      </c>
      <c r="I39" s="85" t="s">
        <v>461</v>
      </c>
      <c r="J39" s="85" t="s">
        <v>462</v>
      </c>
      <c r="K39" s="85" t="s">
        <v>463</v>
      </c>
      <c r="L39" s="85" t="s">
        <v>464</v>
      </c>
      <c r="M39" s="85" t="s">
        <v>465</v>
      </c>
      <c r="N39" s="97" t="s">
        <v>466</v>
      </c>
    </row>
    <row r="40" spans="2:14" x14ac:dyDescent="0.35">
      <c r="B40" s="92"/>
      <c r="C40" s="26"/>
      <c r="D40" s="26"/>
      <c r="E40" s="26"/>
      <c r="F40" s="94" t="s">
        <v>454</v>
      </c>
      <c r="G40" s="83">
        <v>-148.18856276399686</v>
      </c>
      <c r="H40" s="83">
        <v>143.94399015159905</v>
      </c>
      <c r="I40" s="83">
        <v>-1.029487668140417</v>
      </c>
      <c r="J40" s="83">
        <v>0.30425761488766012</v>
      </c>
      <c r="K40" s="83">
        <v>-431.70276968654099</v>
      </c>
      <c r="L40" s="83">
        <v>135.32564415854728</v>
      </c>
      <c r="M40" s="83">
        <v>-431.70276968654099</v>
      </c>
      <c r="N40" s="98">
        <v>135.32564415854728</v>
      </c>
    </row>
    <row r="41" spans="2:14" ht="15" thickBot="1" x14ac:dyDescent="0.4">
      <c r="B41" s="112"/>
      <c r="C41" s="47"/>
      <c r="D41" s="47"/>
      <c r="E41" s="47"/>
      <c r="F41" s="95">
        <v>3</v>
      </c>
      <c r="G41" s="84">
        <v>353.78860283764737</v>
      </c>
      <c r="H41" s="84">
        <v>43.680727926547888</v>
      </c>
      <c r="I41" s="84">
        <v>8.099420949041118</v>
      </c>
      <c r="J41" s="84">
        <v>2.5391277291093214E-14</v>
      </c>
      <c r="K41" s="84">
        <v>267.75439659637294</v>
      </c>
      <c r="L41" s="84">
        <v>439.82280907892181</v>
      </c>
      <c r="M41" s="84">
        <v>267.75439659637294</v>
      </c>
      <c r="N41" s="99">
        <v>439.82280907892181</v>
      </c>
    </row>
  </sheetData>
  <mergeCells count="9">
    <mergeCell ref="F26:G26"/>
    <mergeCell ref="F24:N24"/>
    <mergeCell ref="B1:N1"/>
    <mergeCell ref="E3:H3"/>
    <mergeCell ref="J3:M3"/>
    <mergeCell ref="B23:D23"/>
    <mergeCell ref="F23:N23"/>
    <mergeCell ref="B3:C3"/>
    <mergeCell ref="B10:C10"/>
  </mergeCells>
  <conditionalFormatting sqref="B22">
    <cfRule type="colorScale" priority="1">
      <colorScale>
        <cfvo type="min"/>
        <cfvo type="percentile" val="50"/>
        <cfvo type="max"/>
        <color rgb="FFFFF2CC"/>
        <color rgb="FFFFD966"/>
        <color rgb="FF63BE7B"/>
      </colorScale>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C1:P104"/>
  <sheetViews>
    <sheetView zoomScale="55" zoomScaleNormal="55" workbookViewId="0">
      <selection activeCell="X24" sqref="X24"/>
    </sheetView>
  </sheetViews>
  <sheetFormatPr defaultRowHeight="14.5" x14ac:dyDescent="0.35"/>
  <cols>
    <col min="3" max="3" width="14.453125" bestFit="1" customWidth="1"/>
    <col min="4" max="4" width="19.36328125" bestFit="1" customWidth="1"/>
    <col min="6" max="6" width="14.453125" bestFit="1" customWidth="1"/>
    <col min="7" max="7" width="19.36328125" bestFit="1" customWidth="1"/>
    <col min="8" max="8" width="14.08984375" customWidth="1"/>
    <col min="9" max="9" width="14.453125" bestFit="1" customWidth="1"/>
    <col min="10" max="10" width="19.36328125" bestFit="1" customWidth="1"/>
    <col min="11" max="11" width="12.36328125" bestFit="1" customWidth="1"/>
    <col min="12" max="12" width="15.81640625" bestFit="1" customWidth="1"/>
    <col min="13" max="13" width="19.36328125" bestFit="1" customWidth="1"/>
    <col min="15" max="15" width="14.453125" bestFit="1" customWidth="1"/>
    <col min="16" max="16" width="19.36328125" bestFit="1" customWidth="1"/>
    <col min="19" max="19" width="13.08984375" bestFit="1" customWidth="1"/>
    <col min="20" max="20" width="19.36328125" bestFit="1" customWidth="1"/>
  </cols>
  <sheetData>
    <row r="1" spans="3:16" ht="36" x14ac:dyDescent="0.8">
      <c r="C1" s="129" t="s">
        <v>477</v>
      </c>
      <c r="D1" s="130"/>
      <c r="E1" s="130"/>
      <c r="F1" s="130"/>
      <c r="G1" s="130"/>
      <c r="H1" s="130"/>
      <c r="I1" s="130"/>
      <c r="J1" s="130"/>
      <c r="K1" s="130"/>
      <c r="L1" s="130"/>
      <c r="M1" s="130"/>
      <c r="N1" s="130"/>
      <c r="O1" s="130"/>
      <c r="P1" s="131"/>
    </row>
    <row r="2" spans="3:16" ht="15" thickBot="1" x14ac:dyDescent="0.4">
      <c r="C2" s="92"/>
      <c r="D2" s="26"/>
      <c r="E2" s="26"/>
      <c r="F2" s="26"/>
      <c r="G2" s="26"/>
      <c r="H2" s="26"/>
      <c r="I2" s="26"/>
      <c r="J2" s="26"/>
      <c r="K2" s="26"/>
      <c r="L2" s="26"/>
      <c r="M2" s="26"/>
      <c r="N2" s="26"/>
      <c r="O2" s="26"/>
      <c r="P2" s="58"/>
    </row>
    <row r="3" spans="3:16" ht="16" thickBot="1" x14ac:dyDescent="0.4">
      <c r="C3" s="33" t="s">
        <v>472</v>
      </c>
      <c r="D3" s="34"/>
      <c r="E3" s="26"/>
      <c r="F3" s="33" t="s">
        <v>473</v>
      </c>
      <c r="G3" s="34"/>
      <c r="H3" s="26"/>
      <c r="I3" s="33" t="s">
        <v>474</v>
      </c>
      <c r="J3" s="34"/>
      <c r="K3" s="26"/>
      <c r="L3" s="118" t="s">
        <v>475</v>
      </c>
      <c r="M3" s="119"/>
      <c r="N3" s="26"/>
      <c r="O3" s="118" t="s">
        <v>476</v>
      </c>
      <c r="P3" s="119"/>
    </row>
    <row r="4" spans="3:16" ht="15" thickBot="1" x14ac:dyDescent="0.4">
      <c r="C4" s="123" t="s">
        <v>469</v>
      </c>
      <c r="D4" s="127" t="s">
        <v>471</v>
      </c>
      <c r="E4" s="26"/>
      <c r="F4" s="113" t="s">
        <v>469</v>
      </c>
      <c r="G4" s="58" t="s">
        <v>471</v>
      </c>
      <c r="H4" s="26"/>
      <c r="I4" s="123" t="s">
        <v>469</v>
      </c>
      <c r="J4" s="127" t="s">
        <v>471</v>
      </c>
      <c r="K4" s="26"/>
      <c r="L4" s="123" t="s">
        <v>469</v>
      </c>
      <c r="M4" s="127" t="s">
        <v>471</v>
      </c>
      <c r="N4" s="26"/>
      <c r="O4" s="123" t="s">
        <v>469</v>
      </c>
      <c r="P4" s="127" t="s">
        <v>471</v>
      </c>
    </row>
    <row r="5" spans="3:16" x14ac:dyDescent="0.35">
      <c r="C5" s="124" t="s">
        <v>38</v>
      </c>
      <c r="D5" s="120">
        <v>8338.7399999999961</v>
      </c>
      <c r="E5" s="26"/>
      <c r="F5" s="114" t="s">
        <v>25</v>
      </c>
      <c r="G5" s="115">
        <v>41288.340000000018</v>
      </c>
      <c r="H5" s="26"/>
      <c r="I5" s="124" t="s">
        <v>24</v>
      </c>
      <c r="J5" s="120">
        <v>57427.790000000023</v>
      </c>
      <c r="K5" s="26"/>
      <c r="L5" s="124" t="s">
        <v>20</v>
      </c>
      <c r="M5" s="120">
        <v>8309.739999999998</v>
      </c>
      <c r="N5" s="26"/>
      <c r="O5" s="124" t="s">
        <v>27</v>
      </c>
      <c r="P5" s="120">
        <v>17419.38</v>
      </c>
    </row>
    <row r="6" spans="3:16" x14ac:dyDescent="0.35">
      <c r="C6" s="128" t="s">
        <v>23</v>
      </c>
      <c r="D6" s="121">
        <v>171756.05000000013</v>
      </c>
      <c r="E6" s="26"/>
      <c r="F6" s="114" t="s">
        <v>68</v>
      </c>
      <c r="G6" s="115">
        <v>59288.389999999992</v>
      </c>
      <c r="H6" s="26"/>
      <c r="I6" s="128" t="s">
        <v>31</v>
      </c>
      <c r="J6" s="121">
        <v>61447.960000000014</v>
      </c>
      <c r="K6" s="26"/>
      <c r="L6" s="128" t="s">
        <v>105</v>
      </c>
      <c r="M6" s="121">
        <v>9799.73</v>
      </c>
      <c r="N6" s="26"/>
      <c r="O6" s="128" t="s">
        <v>106</v>
      </c>
      <c r="P6" s="121">
        <v>32708.930000000008</v>
      </c>
    </row>
    <row r="7" spans="3:16" ht="15" thickBot="1" x14ac:dyDescent="0.4">
      <c r="C7" s="125" t="s">
        <v>51</v>
      </c>
      <c r="D7" s="121">
        <v>49097.680000000015</v>
      </c>
      <c r="E7" s="26"/>
      <c r="F7" s="114" t="s">
        <v>45</v>
      </c>
      <c r="G7" s="115">
        <v>50808.310000000012</v>
      </c>
      <c r="H7" s="26"/>
      <c r="I7" s="128" t="s">
        <v>62</v>
      </c>
      <c r="J7" s="121">
        <v>52118.310000000005</v>
      </c>
      <c r="K7" s="26"/>
      <c r="L7" s="128" t="s">
        <v>92</v>
      </c>
      <c r="M7" s="121">
        <v>15659.65</v>
      </c>
      <c r="N7" s="26"/>
      <c r="O7" s="128" t="s">
        <v>158</v>
      </c>
      <c r="P7" s="121">
        <v>20609.279999999995</v>
      </c>
    </row>
    <row r="8" spans="3:16" ht="15" thickBot="1" x14ac:dyDescent="0.4">
      <c r="C8" s="126" t="s">
        <v>470</v>
      </c>
      <c r="D8" s="122">
        <v>229192.47000000015</v>
      </c>
      <c r="E8" s="26"/>
      <c r="F8" s="114" t="s">
        <v>40</v>
      </c>
      <c r="G8" s="115">
        <v>36398.750000000007</v>
      </c>
      <c r="H8" s="26"/>
      <c r="I8" s="125" t="s">
        <v>39</v>
      </c>
      <c r="J8" s="121">
        <v>58198.409999999996</v>
      </c>
      <c r="K8" s="26"/>
      <c r="L8" s="128" t="s">
        <v>236</v>
      </c>
      <c r="M8" s="121">
        <v>6989.7699999999986</v>
      </c>
      <c r="N8" s="26"/>
      <c r="O8" s="128" t="s">
        <v>186</v>
      </c>
      <c r="P8" s="121">
        <v>25599.110000000011</v>
      </c>
    </row>
    <row r="9" spans="3:16" ht="15" thickBot="1" x14ac:dyDescent="0.4">
      <c r="C9" s="92"/>
      <c r="D9" s="26"/>
      <c r="E9" s="26"/>
      <c r="F9" s="114" t="s">
        <v>55</v>
      </c>
      <c r="G9" s="115">
        <v>41408.680000000015</v>
      </c>
      <c r="H9" s="26"/>
      <c r="I9" s="126" t="s">
        <v>470</v>
      </c>
      <c r="J9" s="122">
        <v>229192.47000000003</v>
      </c>
      <c r="K9" s="26"/>
      <c r="L9" s="128" t="s">
        <v>71</v>
      </c>
      <c r="M9" s="121">
        <v>8009.7699999999995</v>
      </c>
      <c r="N9" s="26"/>
      <c r="O9" s="128" t="s">
        <v>221</v>
      </c>
      <c r="P9" s="121">
        <v>32479.070000000003</v>
      </c>
    </row>
    <row r="10" spans="3:16" ht="15" thickBot="1" x14ac:dyDescent="0.4">
      <c r="C10" s="92"/>
      <c r="D10" s="26"/>
      <c r="E10" s="26"/>
      <c r="F10" s="116" t="s">
        <v>470</v>
      </c>
      <c r="G10" s="117">
        <v>229192.47000000006</v>
      </c>
      <c r="H10" s="26"/>
      <c r="I10" s="26"/>
      <c r="J10" s="26"/>
      <c r="K10" s="26"/>
      <c r="L10" s="128" t="s">
        <v>30</v>
      </c>
      <c r="M10" s="121">
        <v>6949.84</v>
      </c>
      <c r="N10" s="26"/>
      <c r="O10" s="128" t="s">
        <v>246</v>
      </c>
      <c r="P10" s="121">
        <v>28489.09</v>
      </c>
    </row>
    <row r="11" spans="3:16" x14ac:dyDescent="0.35">
      <c r="C11" s="92"/>
      <c r="D11" s="26"/>
      <c r="E11" s="26"/>
      <c r="F11" s="26"/>
      <c r="G11" s="26"/>
      <c r="H11" s="26"/>
      <c r="I11" s="26"/>
      <c r="J11" s="26"/>
      <c r="K11" s="26"/>
      <c r="L11" s="128" t="s">
        <v>130</v>
      </c>
      <c r="M11" s="121">
        <v>11919.769999999999</v>
      </c>
      <c r="N11" s="26"/>
      <c r="O11" s="128" t="s">
        <v>272</v>
      </c>
      <c r="P11" s="121">
        <v>28939.02</v>
      </c>
    </row>
    <row r="12" spans="3:16" x14ac:dyDescent="0.35">
      <c r="C12" s="92"/>
      <c r="D12" s="26"/>
      <c r="E12" s="26"/>
      <c r="F12" s="26"/>
      <c r="G12" s="26"/>
      <c r="H12" s="26"/>
      <c r="I12" s="26"/>
      <c r="J12" s="26"/>
      <c r="K12" s="26"/>
      <c r="L12" s="128" t="s">
        <v>54</v>
      </c>
      <c r="M12" s="121">
        <v>8269.7900000000009</v>
      </c>
      <c r="N12" s="26"/>
      <c r="O12" s="128" t="s">
        <v>289</v>
      </c>
      <c r="P12" s="121">
        <v>27369.05</v>
      </c>
    </row>
    <row r="13" spans="3:16" ht="15" thickBot="1" x14ac:dyDescent="0.4">
      <c r="C13" s="92"/>
      <c r="D13" s="26"/>
      <c r="E13" s="26"/>
      <c r="F13" s="26"/>
      <c r="G13" s="26"/>
      <c r="H13" s="26"/>
      <c r="I13" s="26"/>
      <c r="J13" s="26"/>
      <c r="K13" s="26"/>
      <c r="L13" s="128" t="s">
        <v>154</v>
      </c>
      <c r="M13" s="121">
        <v>7309.7999999999993</v>
      </c>
      <c r="N13" s="26"/>
      <c r="O13" s="125" t="s">
        <v>309</v>
      </c>
      <c r="P13" s="122">
        <v>15579.539999999995</v>
      </c>
    </row>
    <row r="14" spans="3:16" ht="15" thickBot="1" x14ac:dyDescent="0.4">
      <c r="C14" s="92"/>
      <c r="D14" s="26"/>
      <c r="E14" s="26"/>
      <c r="F14" s="26"/>
      <c r="G14" s="26"/>
      <c r="H14" s="26"/>
      <c r="I14" s="26"/>
      <c r="J14" s="26"/>
      <c r="K14" s="26"/>
      <c r="L14" s="125" t="s">
        <v>102</v>
      </c>
      <c r="M14" s="121">
        <v>10649.8</v>
      </c>
      <c r="N14" s="26"/>
      <c r="O14" s="26"/>
      <c r="P14" s="58"/>
    </row>
    <row r="15" spans="3:16" ht="15" thickBot="1" x14ac:dyDescent="0.4">
      <c r="C15" s="92"/>
      <c r="D15" s="26"/>
      <c r="E15" s="26"/>
      <c r="F15" s="26"/>
      <c r="G15" s="26"/>
      <c r="H15" s="26"/>
      <c r="I15" s="26"/>
      <c r="J15" s="26"/>
      <c r="K15" s="26"/>
      <c r="L15" s="126" t="s">
        <v>470</v>
      </c>
      <c r="M15" s="122">
        <v>93867.66</v>
      </c>
      <c r="N15" s="26"/>
      <c r="O15" s="26"/>
      <c r="P15" s="58"/>
    </row>
    <row r="16" spans="3:16" x14ac:dyDescent="0.35">
      <c r="C16" s="92"/>
      <c r="D16" s="26"/>
      <c r="E16" s="26"/>
      <c r="F16" s="26"/>
      <c r="G16" s="26"/>
      <c r="H16" s="26"/>
      <c r="I16" s="26"/>
      <c r="J16" s="26"/>
      <c r="K16" s="26"/>
      <c r="N16" s="26"/>
      <c r="O16" s="26"/>
      <c r="P16" s="58"/>
    </row>
    <row r="17" spans="3:16" x14ac:dyDescent="0.35">
      <c r="C17" s="133"/>
      <c r="D17" s="26"/>
      <c r="E17" s="26"/>
      <c r="F17" s="24"/>
      <c r="G17" s="24"/>
      <c r="H17" s="26"/>
      <c r="I17" s="26"/>
      <c r="J17" s="26"/>
      <c r="K17" s="24"/>
      <c r="L17" s="24"/>
      <c r="M17" s="24"/>
      <c r="N17" s="26"/>
      <c r="O17" s="26"/>
      <c r="P17" s="132"/>
    </row>
    <row r="18" spans="3:16" x14ac:dyDescent="0.35">
      <c r="C18" s="92"/>
      <c r="D18" s="19"/>
      <c r="E18" s="19"/>
      <c r="F18" s="26"/>
      <c r="G18" s="26"/>
      <c r="H18" s="19"/>
      <c r="I18" s="19"/>
      <c r="J18" s="19"/>
      <c r="K18" s="26"/>
      <c r="L18" s="26"/>
      <c r="M18" s="26"/>
      <c r="N18" s="19"/>
      <c r="O18" s="19"/>
      <c r="P18" s="58"/>
    </row>
    <row r="19" spans="3:16" x14ac:dyDescent="0.35">
      <c r="C19" s="92"/>
      <c r="D19" s="26"/>
      <c r="E19" s="26"/>
      <c r="F19" s="26"/>
      <c r="G19" s="26"/>
      <c r="H19" s="26"/>
      <c r="I19" s="26"/>
      <c r="J19" s="26"/>
      <c r="K19" s="26"/>
      <c r="L19" s="26"/>
      <c r="M19" s="26"/>
      <c r="N19" s="26"/>
      <c r="O19" s="26"/>
      <c r="P19" s="58"/>
    </row>
    <row r="20" spans="3:16" x14ac:dyDescent="0.35">
      <c r="C20" s="92"/>
      <c r="D20" s="26"/>
      <c r="E20" s="26"/>
      <c r="F20" s="26"/>
      <c r="G20" s="26"/>
      <c r="H20" s="26"/>
      <c r="I20" s="26"/>
      <c r="J20" s="26"/>
      <c r="K20" s="26"/>
      <c r="L20" s="26"/>
      <c r="M20" s="26"/>
      <c r="N20" s="26"/>
      <c r="O20" s="26"/>
      <c r="P20" s="58"/>
    </row>
    <row r="21" spans="3:16" x14ac:dyDescent="0.35">
      <c r="C21" s="92"/>
      <c r="D21" s="26"/>
      <c r="E21" s="26"/>
      <c r="F21" s="26"/>
      <c r="G21" s="26"/>
      <c r="H21" s="26"/>
      <c r="I21" s="26"/>
      <c r="J21" s="26"/>
      <c r="K21" s="26"/>
      <c r="L21" s="26"/>
      <c r="M21" s="26"/>
      <c r="N21" s="26"/>
      <c r="O21" s="26"/>
      <c r="P21" s="58"/>
    </row>
    <row r="22" spans="3:16" x14ac:dyDescent="0.35">
      <c r="C22" s="92"/>
      <c r="D22" s="26"/>
      <c r="E22" s="26"/>
      <c r="F22" s="26"/>
      <c r="G22" s="26"/>
      <c r="H22" s="26"/>
      <c r="I22" s="26"/>
      <c r="J22" s="26"/>
      <c r="K22" s="26"/>
      <c r="L22" s="26"/>
      <c r="M22" s="26"/>
      <c r="N22" s="26"/>
      <c r="O22" s="26"/>
      <c r="P22" s="58"/>
    </row>
    <row r="23" spans="3:16" x14ac:dyDescent="0.35">
      <c r="C23" s="92"/>
      <c r="D23" s="26"/>
      <c r="E23" s="26"/>
      <c r="F23" s="26"/>
      <c r="G23" s="26"/>
      <c r="H23" s="26"/>
      <c r="I23" s="26"/>
      <c r="J23" s="26"/>
      <c r="K23" s="26"/>
      <c r="L23" s="26"/>
      <c r="M23" s="26"/>
      <c r="N23" s="26"/>
      <c r="O23" s="26"/>
      <c r="P23" s="58"/>
    </row>
    <row r="24" spans="3:16" x14ac:dyDescent="0.35">
      <c r="C24" s="92"/>
      <c r="D24" s="26"/>
      <c r="E24" s="26"/>
      <c r="F24" s="26"/>
      <c r="G24" s="26"/>
      <c r="H24" s="26"/>
      <c r="I24" s="26"/>
      <c r="J24" s="26"/>
      <c r="K24" s="26"/>
      <c r="L24" s="26"/>
      <c r="M24" s="26"/>
      <c r="N24" s="26"/>
      <c r="O24" s="26"/>
      <c r="P24" s="58"/>
    </row>
    <row r="25" spans="3:16" x14ac:dyDescent="0.35">
      <c r="C25" s="92"/>
      <c r="D25" s="26"/>
      <c r="E25" s="26"/>
      <c r="F25" s="26"/>
      <c r="G25" s="26"/>
      <c r="H25" s="26"/>
      <c r="I25" s="26"/>
      <c r="J25" s="26"/>
      <c r="K25" s="26"/>
      <c r="L25" s="26"/>
      <c r="M25" s="26"/>
      <c r="N25" s="26"/>
      <c r="O25" s="26"/>
      <c r="P25" s="58"/>
    </row>
    <row r="26" spans="3:16" x14ac:dyDescent="0.35">
      <c r="C26" s="92"/>
      <c r="D26" s="26"/>
      <c r="E26" s="26"/>
      <c r="F26" s="26"/>
      <c r="G26" s="26"/>
      <c r="H26" s="26"/>
      <c r="I26" s="26"/>
      <c r="J26" s="26"/>
      <c r="K26" s="26"/>
      <c r="L26" s="26"/>
      <c r="M26" s="26"/>
      <c r="N26" s="26"/>
      <c r="O26" s="26"/>
      <c r="P26" s="58"/>
    </row>
    <row r="27" spans="3:16" x14ac:dyDescent="0.35">
      <c r="C27" s="92"/>
      <c r="D27" s="26"/>
      <c r="E27" s="26"/>
      <c r="F27" s="26"/>
      <c r="G27" s="26"/>
      <c r="H27" s="26"/>
      <c r="I27" s="26"/>
      <c r="J27" s="26"/>
      <c r="K27" s="26"/>
      <c r="L27" s="26"/>
      <c r="M27" s="26"/>
      <c r="N27" s="26"/>
      <c r="O27" s="26"/>
      <c r="P27" s="58"/>
    </row>
    <row r="28" spans="3:16" x14ac:dyDescent="0.35">
      <c r="C28" s="92"/>
      <c r="D28" s="26"/>
      <c r="E28" s="26"/>
      <c r="F28" s="26"/>
      <c r="G28" s="26"/>
      <c r="H28" s="26"/>
      <c r="I28" s="26"/>
      <c r="J28" s="26"/>
      <c r="K28" s="26"/>
      <c r="L28" s="26"/>
      <c r="M28" s="26"/>
      <c r="N28" s="26"/>
      <c r="O28" s="26"/>
      <c r="P28" s="58"/>
    </row>
    <row r="29" spans="3:16" x14ac:dyDescent="0.35">
      <c r="C29" s="92"/>
      <c r="D29" s="26"/>
      <c r="E29" s="26"/>
      <c r="F29" s="26"/>
      <c r="G29" s="26"/>
      <c r="H29" s="26"/>
      <c r="I29" s="26"/>
      <c r="J29" s="26"/>
      <c r="K29" s="26"/>
      <c r="L29" s="26"/>
      <c r="M29" s="26"/>
      <c r="N29" s="26"/>
      <c r="O29" s="26"/>
      <c r="P29" s="58"/>
    </row>
    <row r="30" spans="3:16" x14ac:dyDescent="0.35">
      <c r="C30" s="92"/>
      <c r="D30" s="26"/>
      <c r="E30" s="26"/>
      <c r="F30" s="26"/>
      <c r="G30" s="26"/>
      <c r="H30" s="26"/>
      <c r="I30" s="26"/>
      <c r="J30" s="26"/>
      <c r="K30" s="26"/>
      <c r="L30" s="26"/>
      <c r="M30" s="26"/>
      <c r="N30" s="26"/>
      <c r="O30" s="26"/>
      <c r="P30" s="58"/>
    </row>
    <row r="31" spans="3:16" x14ac:dyDescent="0.35">
      <c r="C31" s="92"/>
      <c r="D31" s="26"/>
      <c r="E31" s="26"/>
      <c r="F31" s="26"/>
      <c r="G31" s="26"/>
      <c r="H31" s="26"/>
      <c r="I31" s="26"/>
      <c r="J31" s="26"/>
      <c r="K31" s="26"/>
      <c r="L31" s="26"/>
      <c r="M31" s="26"/>
      <c r="N31" s="26"/>
      <c r="O31" s="26"/>
      <c r="P31" s="58"/>
    </row>
    <row r="32" spans="3:16" x14ac:dyDescent="0.35">
      <c r="C32" s="92"/>
      <c r="D32" s="26"/>
      <c r="E32" s="26"/>
      <c r="F32" s="26"/>
      <c r="G32" s="26"/>
      <c r="H32" s="26"/>
      <c r="I32" s="26"/>
      <c r="J32" s="26"/>
      <c r="K32" s="26"/>
      <c r="L32" s="26"/>
      <c r="M32" s="26"/>
      <c r="N32" s="26"/>
      <c r="O32" s="26"/>
      <c r="P32" s="58"/>
    </row>
    <row r="33" spans="3:16" x14ac:dyDescent="0.35">
      <c r="C33" s="92"/>
      <c r="D33" s="26"/>
      <c r="E33" s="26"/>
      <c r="F33" s="26"/>
      <c r="G33" s="26"/>
      <c r="H33" s="26"/>
      <c r="I33" s="26"/>
      <c r="J33" s="26"/>
      <c r="K33" s="26"/>
      <c r="L33" s="26"/>
      <c r="M33" s="26"/>
      <c r="N33" s="26"/>
      <c r="O33" s="26"/>
      <c r="P33" s="58"/>
    </row>
    <row r="34" spans="3:16" x14ac:dyDescent="0.35">
      <c r="C34" s="92"/>
      <c r="D34" s="26"/>
      <c r="E34" s="26"/>
      <c r="F34" s="26"/>
      <c r="G34" s="26"/>
      <c r="H34" s="26"/>
      <c r="I34" s="26"/>
      <c r="J34" s="26"/>
      <c r="K34" s="26"/>
      <c r="L34" s="26"/>
      <c r="M34" s="26"/>
      <c r="N34" s="26"/>
      <c r="O34" s="26"/>
      <c r="P34" s="58"/>
    </row>
    <row r="35" spans="3:16" x14ac:dyDescent="0.35">
      <c r="C35" s="92"/>
      <c r="D35" s="26"/>
      <c r="E35" s="26"/>
      <c r="F35" s="26"/>
      <c r="G35" s="26"/>
      <c r="H35" s="26"/>
      <c r="I35" s="26"/>
      <c r="J35" s="26"/>
      <c r="K35" s="26"/>
      <c r="L35" s="26"/>
      <c r="M35" s="26"/>
      <c r="N35" s="26"/>
      <c r="O35" s="26"/>
      <c r="P35" s="58"/>
    </row>
    <row r="36" spans="3:16" x14ac:dyDescent="0.35">
      <c r="C36" s="92"/>
      <c r="D36" s="26"/>
      <c r="E36" s="26"/>
      <c r="F36" s="26"/>
      <c r="G36" s="26"/>
      <c r="H36" s="26"/>
      <c r="I36" s="26"/>
      <c r="J36" s="26"/>
      <c r="K36" s="26"/>
      <c r="L36" s="26"/>
      <c r="M36" s="26"/>
      <c r="N36" s="26"/>
      <c r="O36" s="26"/>
      <c r="P36" s="58"/>
    </row>
    <row r="37" spans="3:16" x14ac:dyDescent="0.35">
      <c r="C37" s="92"/>
      <c r="D37" s="26"/>
      <c r="E37" s="26"/>
      <c r="F37" s="26"/>
      <c r="G37" s="26"/>
      <c r="H37" s="26"/>
      <c r="I37" s="26"/>
      <c r="J37" s="26"/>
      <c r="K37" s="26"/>
      <c r="L37" s="26"/>
      <c r="M37" s="26"/>
      <c r="N37" s="26"/>
      <c r="O37" s="26"/>
      <c r="P37" s="58"/>
    </row>
    <row r="38" spans="3:16" x14ac:dyDescent="0.35">
      <c r="C38" s="92"/>
      <c r="D38" s="26"/>
      <c r="E38" s="26"/>
      <c r="F38" s="26"/>
      <c r="G38" s="26"/>
      <c r="H38" s="26"/>
      <c r="I38" s="26"/>
      <c r="J38" s="26"/>
      <c r="K38" s="26"/>
      <c r="L38" s="26"/>
      <c r="M38" s="26"/>
      <c r="N38" s="26"/>
      <c r="O38" s="26"/>
      <c r="P38" s="58"/>
    </row>
    <row r="39" spans="3:16" x14ac:dyDescent="0.35">
      <c r="C39" s="92"/>
      <c r="D39" s="26"/>
      <c r="E39" s="26"/>
      <c r="F39" s="26"/>
      <c r="G39" s="26"/>
      <c r="H39" s="26"/>
      <c r="I39" s="26"/>
      <c r="J39" s="26"/>
      <c r="K39" s="26"/>
      <c r="L39" s="26"/>
      <c r="M39" s="26"/>
      <c r="N39" s="26"/>
      <c r="O39" s="26"/>
      <c r="P39" s="58"/>
    </row>
    <row r="40" spans="3:16" x14ac:dyDescent="0.35">
      <c r="C40" s="92"/>
      <c r="D40" s="26"/>
      <c r="E40" s="26"/>
      <c r="F40" s="26"/>
      <c r="G40" s="26"/>
      <c r="H40" s="26"/>
      <c r="I40" s="26"/>
      <c r="J40" s="26"/>
      <c r="K40" s="26"/>
      <c r="L40" s="26"/>
      <c r="M40" s="26"/>
      <c r="N40" s="26"/>
      <c r="O40" s="26"/>
      <c r="P40" s="58"/>
    </row>
    <row r="41" spans="3:16" x14ac:dyDescent="0.35">
      <c r="C41" s="92"/>
      <c r="D41" s="26"/>
      <c r="E41" s="26"/>
      <c r="F41" s="26"/>
      <c r="G41" s="26"/>
      <c r="H41" s="26"/>
      <c r="I41" s="26"/>
      <c r="J41" s="26"/>
      <c r="K41" s="26"/>
      <c r="L41" s="26"/>
      <c r="M41" s="26"/>
      <c r="N41" s="26"/>
      <c r="O41" s="26"/>
      <c r="P41" s="58"/>
    </row>
    <row r="42" spans="3:16" x14ac:dyDescent="0.35">
      <c r="C42" s="92"/>
      <c r="D42" s="26"/>
      <c r="E42" s="26"/>
      <c r="F42" s="26"/>
      <c r="G42" s="26"/>
      <c r="H42" s="26"/>
      <c r="I42" s="26"/>
      <c r="J42" s="26"/>
      <c r="K42" s="26"/>
      <c r="L42" s="26"/>
      <c r="M42" s="26"/>
      <c r="N42" s="26"/>
      <c r="O42" s="26"/>
      <c r="P42" s="58"/>
    </row>
    <row r="43" spans="3:16" x14ac:dyDescent="0.35">
      <c r="C43" s="92"/>
      <c r="D43" s="26"/>
      <c r="E43" s="26"/>
      <c r="F43" s="26"/>
      <c r="G43" s="26"/>
      <c r="H43" s="26"/>
      <c r="I43" s="26"/>
      <c r="J43" s="26"/>
      <c r="K43" s="26"/>
      <c r="L43" s="26"/>
      <c r="M43" s="26"/>
      <c r="N43" s="26"/>
      <c r="O43" s="26"/>
      <c r="P43" s="58"/>
    </row>
    <row r="44" spans="3:16" x14ac:dyDescent="0.35">
      <c r="C44" s="92"/>
      <c r="D44" s="26"/>
      <c r="E44" s="26"/>
      <c r="F44" s="26"/>
      <c r="G44" s="26"/>
      <c r="H44" s="26"/>
      <c r="I44" s="26"/>
      <c r="J44" s="26"/>
      <c r="K44" s="26"/>
      <c r="L44" s="26"/>
      <c r="M44" s="26"/>
      <c r="N44" s="26"/>
      <c r="O44" s="26"/>
      <c r="P44" s="58"/>
    </row>
    <row r="45" spans="3:16" x14ac:dyDescent="0.35">
      <c r="C45" s="92"/>
      <c r="D45" s="26"/>
      <c r="E45" s="26"/>
      <c r="F45" s="26"/>
      <c r="G45" s="26"/>
      <c r="H45" s="26"/>
      <c r="I45" s="26"/>
      <c r="J45" s="26"/>
      <c r="K45" s="26"/>
      <c r="L45" s="26"/>
      <c r="M45" s="26"/>
      <c r="N45" s="26"/>
      <c r="O45" s="26"/>
      <c r="P45" s="58"/>
    </row>
    <row r="46" spans="3:16" x14ac:dyDescent="0.35">
      <c r="C46" s="92"/>
      <c r="D46" s="26"/>
      <c r="E46" s="26"/>
      <c r="F46" s="26"/>
      <c r="G46" s="26"/>
      <c r="H46" s="26"/>
      <c r="I46" s="26"/>
      <c r="J46" s="26"/>
      <c r="K46" s="26"/>
      <c r="L46" s="26"/>
      <c r="M46" s="26"/>
      <c r="N46" s="26"/>
      <c r="O46" s="26"/>
      <c r="P46" s="58"/>
    </row>
    <row r="47" spans="3:16" x14ac:dyDescent="0.35">
      <c r="C47" s="92"/>
      <c r="D47" s="26"/>
      <c r="E47" s="26"/>
      <c r="F47" s="26"/>
      <c r="G47" s="26"/>
      <c r="H47" s="26"/>
      <c r="I47" s="26"/>
      <c r="J47" s="26"/>
      <c r="K47" s="26"/>
      <c r="L47" s="26"/>
      <c r="M47" s="26"/>
      <c r="N47" s="26"/>
      <c r="O47" s="26"/>
      <c r="P47" s="58"/>
    </row>
    <row r="48" spans="3:16" x14ac:dyDescent="0.35">
      <c r="C48" s="92"/>
      <c r="D48" s="26"/>
      <c r="E48" s="26"/>
      <c r="F48" s="26"/>
      <c r="G48" s="26"/>
      <c r="H48" s="26"/>
      <c r="I48" s="26"/>
      <c r="J48" s="26"/>
      <c r="K48" s="26"/>
      <c r="L48" s="26"/>
      <c r="M48" s="26"/>
      <c r="N48" s="26"/>
      <c r="O48" s="26"/>
      <c r="P48" s="58"/>
    </row>
    <row r="49" spans="3:16" x14ac:dyDescent="0.35">
      <c r="C49" s="92"/>
      <c r="D49" s="26"/>
      <c r="E49" s="26"/>
      <c r="F49" s="26"/>
      <c r="G49" s="26"/>
      <c r="H49" s="26"/>
      <c r="I49" s="26"/>
      <c r="J49" s="26"/>
      <c r="K49" s="26"/>
      <c r="L49" s="26"/>
      <c r="M49" s="26"/>
      <c r="N49" s="26"/>
      <c r="O49" s="26"/>
      <c r="P49" s="58"/>
    </row>
    <row r="50" spans="3:16" x14ac:dyDescent="0.35">
      <c r="C50" s="92"/>
      <c r="D50" s="26"/>
      <c r="E50" s="26"/>
      <c r="F50" s="26"/>
      <c r="G50" s="26"/>
      <c r="H50" s="26"/>
      <c r="I50" s="26"/>
      <c r="J50" s="26"/>
      <c r="K50" s="26"/>
      <c r="L50" s="26"/>
      <c r="M50" s="26"/>
      <c r="N50" s="26"/>
      <c r="O50" s="26"/>
      <c r="P50" s="58"/>
    </row>
    <row r="51" spans="3:16" x14ac:dyDescent="0.35">
      <c r="C51" s="92"/>
      <c r="D51" s="26"/>
      <c r="E51" s="26"/>
      <c r="F51" s="26"/>
      <c r="G51" s="26"/>
      <c r="H51" s="26"/>
      <c r="I51" s="26"/>
      <c r="J51" s="26"/>
      <c r="K51" s="26"/>
      <c r="L51" s="26"/>
      <c r="M51" s="26"/>
      <c r="N51" s="26"/>
      <c r="O51" s="26"/>
      <c r="P51" s="58"/>
    </row>
    <row r="52" spans="3:16" x14ac:dyDescent="0.35">
      <c r="C52" s="92"/>
      <c r="D52" s="26"/>
      <c r="E52" s="26"/>
      <c r="F52" s="26"/>
      <c r="G52" s="26"/>
      <c r="H52" s="26"/>
      <c r="I52" s="26"/>
      <c r="J52" s="26"/>
      <c r="K52" s="26"/>
      <c r="L52" s="26"/>
      <c r="M52" s="26"/>
      <c r="N52" s="26"/>
      <c r="O52" s="26"/>
      <c r="P52" s="58"/>
    </row>
    <row r="53" spans="3:16" x14ac:dyDescent="0.35">
      <c r="C53" s="92"/>
      <c r="D53" s="26"/>
      <c r="E53" s="26"/>
      <c r="F53" s="26"/>
      <c r="G53" s="26"/>
      <c r="H53" s="26"/>
      <c r="I53" s="26"/>
      <c r="J53" s="26"/>
      <c r="K53" s="26"/>
      <c r="L53" s="26"/>
      <c r="M53" s="26"/>
      <c r="N53" s="26"/>
      <c r="O53" s="26"/>
      <c r="P53" s="58"/>
    </row>
    <row r="54" spans="3:16" x14ac:dyDescent="0.35">
      <c r="C54" s="92"/>
      <c r="D54" s="26"/>
      <c r="E54" s="26"/>
      <c r="F54" s="26"/>
      <c r="G54" s="26"/>
      <c r="H54" s="26"/>
      <c r="I54" s="26"/>
      <c r="J54" s="26"/>
      <c r="K54" s="26"/>
      <c r="L54" s="26"/>
      <c r="M54" s="26"/>
      <c r="N54" s="26"/>
      <c r="O54" s="26"/>
      <c r="P54" s="58"/>
    </row>
    <row r="55" spans="3:16" x14ac:dyDescent="0.35">
      <c r="C55" s="92"/>
      <c r="D55" s="26"/>
      <c r="E55" s="26"/>
      <c r="F55" s="26"/>
      <c r="G55" s="26"/>
      <c r="H55" s="26"/>
      <c r="I55" s="26"/>
      <c r="J55" s="26"/>
      <c r="K55" s="26"/>
      <c r="L55" s="26"/>
      <c r="M55" s="26"/>
      <c r="N55" s="26"/>
      <c r="O55" s="26"/>
      <c r="P55" s="58"/>
    </row>
    <row r="56" spans="3:16" x14ac:dyDescent="0.35">
      <c r="C56" s="92"/>
      <c r="D56" s="26"/>
      <c r="E56" s="26"/>
      <c r="F56" s="26"/>
      <c r="G56" s="26"/>
      <c r="H56" s="26"/>
      <c r="I56" s="26"/>
      <c r="J56" s="26"/>
      <c r="K56" s="26"/>
      <c r="L56" s="26"/>
      <c r="M56" s="26"/>
      <c r="N56" s="26"/>
      <c r="O56" s="26"/>
      <c r="P56" s="58"/>
    </row>
    <row r="57" spans="3:16" x14ac:dyDescent="0.35">
      <c r="C57" s="92"/>
      <c r="D57" s="26"/>
      <c r="E57" s="26"/>
      <c r="F57" s="26"/>
      <c r="G57" s="26"/>
      <c r="H57" s="26"/>
      <c r="I57" s="26"/>
      <c r="J57" s="26"/>
      <c r="K57" s="26"/>
      <c r="L57" s="26"/>
      <c r="M57" s="26"/>
      <c r="N57" s="26"/>
      <c r="O57" s="26"/>
      <c r="P57" s="58"/>
    </row>
    <row r="58" spans="3:16" x14ac:dyDescent="0.35">
      <c r="C58" s="92"/>
      <c r="D58" s="26"/>
      <c r="E58" s="26"/>
      <c r="F58" s="26"/>
      <c r="G58" s="26"/>
      <c r="H58" s="26"/>
      <c r="I58" s="26"/>
      <c r="J58" s="26"/>
      <c r="K58" s="26"/>
      <c r="L58" s="26"/>
      <c r="M58" s="26"/>
      <c r="N58" s="26"/>
      <c r="O58" s="26"/>
      <c r="P58" s="58"/>
    </row>
    <row r="59" spans="3:16" x14ac:dyDescent="0.35">
      <c r="C59" s="92"/>
      <c r="D59" s="26"/>
      <c r="E59" s="26"/>
      <c r="F59" s="26"/>
      <c r="G59" s="26"/>
      <c r="H59" s="26"/>
      <c r="I59" s="26"/>
      <c r="J59" s="26"/>
      <c r="K59" s="26"/>
      <c r="L59" s="26"/>
      <c r="M59" s="26"/>
      <c r="N59" s="26"/>
      <c r="O59" s="26"/>
      <c r="P59" s="58"/>
    </row>
    <row r="60" spans="3:16" x14ac:dyDescent="0.35">
      <c r="C60" s="92"/>
      <c r="D60" s="26"/>
      <c r="E60" s="26"/>
      <c r="F60" s="26"/>
      <c r="G60" s="26"/>
      <c r="H60" s="26"/>
      <c r="I60" s="26"/>
      <c r="J60" s="26"/>
      <c r="K60" s="26"/>
      <c r="L60" s="26"/>
      <c r="M60" s="26"/>
      <c r="N60" s="26"/>
      <c r="O60" s="26"/>
      <c r="P60" s="58"/>
    </row>
    <row r="61" spans="3:16" x14ac:dyDescent="0.35">
      <c r="C61" s="92"/>
      <c r="D61" s="26"/>
      <c r="E61" s="26"/>
      <c r="F61" s="26"/>
      <c r="G61" s="26"/>
      <c r="H61" s="26"/>
      <c r="I61" s="26"/>
      <c r="J61" s="26"/>
      <c r="K61" s="26"/>
      <c r="L61" s="26"/>
      <c r="M61" s="26"/>
      <c r="N61" s="26"/>
      <c r="O61" s="26"/>
      <c r="P61" s="58"/>
    </row>
    <row r="62" spans="3:16" x14ac:dyDescent="0.35">
      <c r="C62" s="92"/>
      <c r="D62" s="26"/>
      <c r="E62" s="26"/>
      <c r="F62" s="26"/>
      <c r="G62" s="26"/>
      <c r="H62" s="26"/>
      <c r="I62" s="26"/>
      <c r="J62" s="26"/>
      <c r="K62" s="26"/>
      <c r="L62" s="26"/>
      <c r="M62" s="26"/>
      <c r="N62" s="26"/>
      <c r="O62" s="26"/>
      <c r="P62" s="58"/>
    </row>
    <row r="63" spans="3:16" x14ac:dyDescent="0.35">
      <c r="C63" s="92"/>
      <c r="D63" s="26"/>
      <c r="E63" s="26"/>
      <c r="F63" s="26"/>
      <c r="G63" s="26"/>
      <c r="H63" s="26"/>
      <c r="I63" s="26"/>
      <c r="J63" s="26"/>
      <c r="K63" s="26"/>
      <c r="L63" s="26"/>
      <c r="M63" s="26"/>
      <c r="N63" s="26"/>
      <c r="O63" s="26"/>
      <c r="P63" s="58"/>
    </row>
    <row r="64" spans="3:16" x14ac:dyDescent="0.35">
      <c r="C64" s="92"/>
      <c r="D64" s="26"/>
      <c r="E64" s="26"/>
      <c r="F64" s="26"/>
      <c r="G64" s="26"/>
      <c r="H64" s="26"/>
      <c r="I64" s="26"/>
      <c r="J64" s="26"/>
      <c r="K64" s="26"/>
      <c r="L64" s="26"/>
      <c r="M64" s="26"/>
      <c r="N64" s="26"/>
      <c r="O64" s="26"/>
      <c r="P64" s="58"/>
    </row>
    <row r="65" spans="3:16" x14ac:dyDescent="0.35">
      <c r="C65" s="92"/>
      <c r="D65" s="26"/>
      <c r="E65" s="26"/>
      <c r="F65" s="26"/>
      <c r="G65" s="26"/>
      <c r="H65" s="26"/>
      <c r="I65" s="26"/>
      <c r="J65" s="26"/>
      <c r="K65" s="26"/>
      <c r="L65" s="26"/>
      <c r="M65" s="26"/>
      <c r="N65" s="26"/>
      <c r="O65" s="26"/>
      <c r="P65" s="58"/>
    </row>
    <row r="66" spans="3:16" x14ac:dyDescent="0.35">
      <c r="C66" s="92"/>
      <c r="D66" s="26"/>
      <c r="E66" s="26"/>
      <c r="F66" s="26"/>
      <c r="G66" s="26"/>
      <c r="H66" s="26"/>
      <c r="I66" s="26"/>
      <c r="J66" s="26"/>
      <c r="K66" s="26"/>
      <c r="L66" s="26"/>
      <c r="M66" s="26"/>
      <c r="N66" s="26"/>
      <c r="O66" s="26"/>
      <c r="P66" s="58"/>
    </row>
    <row r="67" spans="3:16" x14ac:dyDescent="0.35">
      <c r="C67" s="92"/>
      <c r="D67" s="26"/>
      <c r="E67" s="26"/>
      <c r="F67" s="26"/>
      <c r="G67" s="26"/>
      <c r="H67" s="26"/>
      <c r="I67" s="26"/>
      <c r="J67" s="26"/>
      <c r="K67" s="26"/>
      <c r="L67" s="26"/>
      <c r="M67" s="26"/>
      <c r="N67" s="26"/>
      <c r="O67" s="26"/>
      <c r="P67" s="58"/>
    </row>
    <row r="68" spans="3:16" x14ac:dyDescent="0.35">
      <c r="C68" s="92"/>
      <c r="D68" s="26"/>
      <c r="E68" s="26"/>
      <c r="F68" s="26"/>
      <c r="G68" s="26"/>
      <c r="H68" s="26"/>
      <c r="I68" s="26"/>
      <c r="J68" s="26"/>
      <c r="K68" s="26"/>
      <c r="L68" s="26"/>
      <c r="M68" s="26"/>
      <c r="N68" s="26"/>
      <c r="O68" s="26"/>
      <c r="P68" s="58"/>
    </row>
    <row r="69" spans="3:16" x14ac:dyDescent="0.35">
      <c r="C69" s="92"/>
      <c r="D69" s="26"/>
      <c r="E69" s="26"/>
      <c r="F69" s="26"/>
      <c r="G69" s="26"/>
      <c r="H69" s="26"/>
      <c r="I69" s="26"/>
      <c r="J69" s="26"/>
      <c r="K69" s="26"/>
      <c r="L69" s="26"/>
      <c r="M69" s="26"/>
      <c r="N69" s="26"/>
      <c r="O69" s="26"/>
      <c r="P69" s="58"/>
    </row>
    <row r="70" spans="3:16" x14ac:dyDescent="0.35">
      <c r="C70" s="92"/>
      <c r="D70" s="26"/>
      <c r="E70" s="26"/>
      <c r="F70" s="26"/>
      <c r="G70" s="26"/>
      <c r="H70" s="26"/>
      <c r="I70" s="26"/>
      <c r="J70" s="26"/>
      <c r="K70" s="26"/>
      <c r="L70" s="26"/>
      <c r="M70" s="26"/>
      <c r="N70" s="26"/>
      <c r="O70" s="26"/>
      <c r="P70" s="58"/>
    </row>
    <row r="71" spans="3:16" x14ac:dyDescent="0.35">
      <c r="C71" s="92"/>
      <c r="D71" s="26"/>
      <c r="E71" s="26"/>
      <c r="F71" s="26"/>
      <c r="G71" s="26"/>
      <c r="H71" s="26"/>
      <c r="I71" s="26"/>
      <c r="J71" s="26"/>
      <c r="K71" s="26"/>
      <c r="L71" s="26"/>
      <c r="M71" s="26"/>
      <c r="N71" s="26"/>
      <c r="O71" s="26"/>
      <c r="P71" s="58"/>
    </row>
    <row r="72" spans="3:16" x14ac:dyDescent="0.35">
      <c r="C72" s="92"/>
      <c r="D72" s="26"/>
      <c r="E72" s="26"/>
      <c r="F72" s="26"/>
      <c r="G72" s="26"/>
      <c r="H72" s="26"/>
      <c r="I72" s="26"/>
      <c r="J72" s="26"/>
      <c r="K72" s="26"/>
      <c r="L72" s="26"/>
      <c r="M72" s="26"/>
      <c r="N72" s="26"/>
      <c r="O72" s="26"/>
      <c r="P72" s="58"/>
    </row>
    <row r="73" spans="3:16" x14ac:dyDescent="0.35">
      <c r="C73" s="92"/>
      <c r="D73" s="26"/>
      <c r="E73" s="26"/>
      <c r="F73" s="26"/>
      <c r="G73" s="26"/>
      <c r="H73" s="26"/>
      <c r="I73" s="26"/>
      <c r="J73" s="26"/>
      <c r="K73" s="26"/>
      <c r="L73" s="26"/>
      <c r="M73" s="26"/>
      <c r="N73" s="26"/>
      <c r="O73" s="26"/>
      <c r="P73" s="58"/>
    </row>
    <row r="74" spans="3:16" x14ac:dyDescent="0.35">
      <c r="C74" s="92"/>
      <c r="D74" s="26"/>
      <c r="E74" s="26"/>
      <c r="F74" s="26"/>
      <c r="G74" s="26"/>
      <c r="H74" s="26"/>
      <c r="I74" s="26"/>
      <c r="J74" s="26"/>
      <c r="K74" s="26"/>
      <c r="L74" s="26"/>
      <c r="M74" s="26"/>
      <c r="N74" s="26"/>
      <c r="O74" s="26"/>
      <c r="P74" s="58"/>
    </row>
    <row r="75" spans="3:16" x14ac:dyDescent="0.35">
      <c r="C75" s="92"/>
      <c r="D75" s="26"/>
      <c r="E75" s="26"/>
      <c r="F75" s="26"/>
      <c r="G75" s="26"/>
      <c r="H75" s="26"/>
      <c r="I75" s="26"/>
      <c r="J75" s="26"/>
      <c r="K75" s="26"/>
      <c r="L75" s="26"/>
      <c r="M75" s="26"/>
      <c r="N75" s="26"/>
      <c r="O75" s="26"/>
      <c r="P75" s="58"/>
    </row>
    <row r="76" spans="3:16" x14ac:dyDescent="0.35">
      <c r="C76" s="92"/>
      <c r="D76" s="26"/>
      <c r="E76" s="26"/>
      <c r="F76" s="26"/>
      <c r="G76" s="26"/>
      <c r="H76" s="26"/>
      <c r="I76" s="26"/>
      <c r="J76" s="26"/>
      <c r="K76" s="26"/>
      <c r="L76" s="26"/>
      <c r="M76" s="26"/>
      <c r="N76" s="26"/>
      <c r="O76" s="26"/>
      <c r="P76" s="58"/>
    </row>
    <row r="77" spans="3:16" x14ac:dyDescent="0.35">
      <c r="C77" s="92"/>
      <c r="D77" s="26"/>
      <c r="E77" s="26"/>
      <c r="F77" s="26"/>
      <c r="G77" s="26"/>
      <c r="H77" s="26"/>
      <c r="I77" s="26"/>
      <c r="J77" s="26"/>
      <c r="K77" s="26"/>
      <c r="L77" s="26"/>
      <c r="M77" s="26"/>
      <c r="N77" s="26"/>
      <c r="O77" s="26"/>
      <c r="P77" s="58"/>
    </row>
    <row r="78" spans="3:16" x14ac:dyDescent="0.35">
      <c r="C78" s="92"/>
      <c r="D78" s="26"/>
      <c r="E78" s="26"/>
      <c r="F78" s="26"/>
      <c r="G78" s="26"/>
      <c r="H78" s="26"/>
      <c r="I78" s="26"/>
      <c r="J78" s="26"/>
      <c r="K78" s="26"/>
      <c r="L78" s="26"/>
      <c r="M78" s="26"/>
      <c r="N78" s="26"/>
      <c r="O78" s="26"/>
      <c r="P78" s="58"/>
    </row>
    <row r="79" spans="3:16" x14ac:dyDescent="0.35">
      <c r="C79" s="92"/>
      <c r="D79" s="26"/>
      <c r="E79" s="26"/>
      <c r="F79" s="26"/>
      <c r="G79" s="26"/>
      <c r="H79" s="26"/>
      <c r="I79" s="26"/>
      <c r="J79" s="26"/>
      <c r="K79" s="26"/>
      <c r="L79" s="26"/>
      <c r="M79" s="26"/>
      <c r="N79" s="26"/>
      <c r="O79" s="26"/>
      <c r="P79" s="58"/>
    </row>
    <row r="80" spans="3:16" x14ac:dyDescent="0.35">
      <c r="C80" s="92"/>
      <c r="D80" s="26"/>
      <c r="E80" s="26"/>
      <c r="F80" s="26"/>
      <c r="G80" s="26"/>
      <c r="H80" s="26"/>
      <c r="I80" s="26"/>
      <c r="J80" s="26"/>
      <c r="K80" s="26"/>
      <c r="L80" s="26"/>
      <c r="M80" s="26"/>
      <c r="N80" s="26"/>
      <c r="O80" s="26"/>
      <c r="P80" s="58"/>
    </row>
    <row r="81" spans="3:16" x14ac:dyDescent="0.35">
      <c r="C81" s="92"/>
      <c r="D81" s="26"/>
      <c r="E81" s="26"/>
      <c r="F81" s="26"/>
      <c r="G81" s="26"/>
      <c r="H81" s="26"/>
      <c r="I81" s="26"/>
      <c r="J81" s="26"/>
      <c r="K81" s="26"/>
      <c r="L81" s="26"/>
      <c r="M81" s="26"/>
      <c r="N81" s="26"/>
      <c r="O81" s="26"/>
      <c r="P81" s="58"/>
    </row>
    <row r="82" spans="3:16" x14ac:dyDescent="0.35">
      <c r="C82" s="92"/>
      <c r="D82" s="26"/>
      <c r="E82" s="26"/>
      <c r="F82" s="26"/>
      <c r="G82" s="26"/>
      <c r="H82" s="26"/>
      <c r="I82" s="26"/>
      <c r="J82" s="26"/>
      <c r="K82" s="26"/>
      <c r="L82" s="26"/>
      <c r="M82" s="26"/>
      <c r="N82" s="26"/>
      <c r="O82" s="26"/>
      <c r="P82" s="58"/>
    </row>
    <row r="83" spans="3:16" x14ac:dyDescent="0.35">
      <c r="C83" s="92"/>
      <c r="D83" s="26"/>
      <c r="E83" s="26"/>
      <c r="F83" s="26"/>
      <c r="G83" s="26"/>
      <c r="H83" s="26"/>
      <c r="I83" s="26"/>
      <c r="J83" s="26"/>
      <c r="K83" s="26"/>
      <c r="L83" s="26"/>
      <c r="M83" s="26"/>
      <c r="N83" s="26"/>
      <c r="O83" s="26"/>
      <c r="P83" s="58"/>
    </row>
    <row r="84" spans="3:16" x14ac:dyDescent="0.35">
      <c r="C84" s="92"/>
      <c r="D84" s="26"/>
      <c r="E84" s="26"/>
      <c r="F84" s="26"/>
      <c r="G84" s="26"/>
      <c r="H84" s="26"/>
      <c r="I84" s="26"/>
      <c r="J84" s="26"/>
      <c r="K84" s="26"/>
      <c r="L84" s="26"/>
      <c r="M84" s="26"/>
      <c r="N84" s="26"/>
      <c r="O84" s="26"/>
      <c r="P84" s="58"/>
    </row>
    <row r="85" spans="3:16" x14ac:dyDescent="0.35">
      <c r="C85" s="92"/>
      <c r="D85" s="26"/>
      <c r="E85" s="26"/>
      <c r="F85" s="26"/>
      <c r="G85" s="26"/>
      <c r="H85" s="26"/>
      <c r="I85" s="26"/>
      <c r="J85" s="26"/>
      <c r="K85" s="26"/>
      <c r="L85" s="26"/>
      <c r="M85" s="26"/>
      <c r="N85" s="26"/>
      <c r="O85" s="26"/>
      <c r="P85" s="58"/>
    </row>
    <row r="86" spans="3:16" x14ac:dyDescent="0.35">
      <c r="C86" s="92"/>
      <c r="D86" s="26"/>
      <c r="E86" s="26"/>
      <c r="F86" s="26"/>
      <c r="G86" s="26"/>
      <c r="H86" s="26"/>
      <c r="I86" s="26"/>
      <c r="J86" s="26"/>
      <c r="K86" s="26"/>
      <c r="L86" s="26"/>
      <c r="M86" s="26"/>
      <c r="N86" s="26"/>
      <c r="O86" s="26"/>
      <c r="P86" s="58"/>
    </row>
    <row r="87" spans="3:16" x14ac:dyDescent="0.35">
      <c r="C87" s="92"/>
      <c r="D87" s="26"/>
      <c r="E87" s="26"/>
      <c r="F87" s="26"/>
      <c r="G87" s="26"/>
      <c r="H87" s="26"/>
      <c r="I87" s="26"/>
      <c r="J87" s="26"/>
      <c r="K87" s="26"/>
      <c r="L87" s="26"/>
      <c r="M87" s="26"/>
      <c r="N87" s="26"/>
      <c r="O87" s="26"/>
      <c r="P87" s="58"/>
    </row>
    <row r="88" spans="3:16" x14ac:dyDescent="0.35">
      <c r="C88" s="92"/>
      <c r="D88" s="26"/>
      <c r="E88" s="26"/>
      <c r="F88" s="26"/>
      <c r="G88" s="26"/>
      <c r="H88" s="26"/>
      <c r="I88" s="26"/>
      <c r="J88" s="26"/>
      <c r="K88" s="26"/>
      <c r="L88" s="26"/>
      <c r="M88" s="26"/>
      <c r="N88" s="26"/>
      <c r="O88" s="26"/>
      <c r="P88" s="58"/>
    </row>
    <row r="89" spans="3:16" x14ac:dyDescent="0.35">
      <c r="C89" s="92"/>
      <c r="D89" s="26"/>
      <c r="E89" s="26"/>
      <c r="F89" s="26"/>
      <c r="G89" s="26"/>
      <c r="H89" s="26"/>
      <c r="I89" s="26"/>
      <c r="J89" s="26"/>
      <c r="K89" s="26"/>
      <c r="L89" s="26"/>
      <c r="M89" s="26"/>
      <c r="N89" s="26"/>
      <c r="O89" s="26"/>
      <c r="P89" s="58"/>
    </row>
    <row r="90" spans="3:16" x14ac:dyDescent="0.35">
      <c r="C90" s="92"/>
      <c r="D90" s="26"/>
      <c r="E90" s="26"/>
      <c r="F90" s="26"/>
      <c r="G90" s="26"/>
      <c r="H90" s="26"/>
      <c r="I90" s="26"/>
      <c r="J90" s="26"/>
      <c r="K90" s="26"/>
      <c r="L90" s="26"/>
      <c r="M90" s="26"/>
      <c r="N90" s="26"/>
      <c r="O90" s="26"/>
      <c r="P90" s="58"/>
    </row>
    <row r="91" spans="3:16" x14ac:dyDescent="0.35">
      <c r="C91" s="92"/>
      <c r="D91" s="26"/>
      <c r="E91" s="26"/>
      <c r="F91" s="26"/>
      <c r="G91" s="26"/>
      <c r="H91" s="26"/>
      <c r="I91" s="26"/>
      <c r="J91" s="26"/>
      <c r="K91" s="26"/>
      <c r="L91" s="26"/>
      <c r="M91" s="26"/>
      <c r="N91" s="26"/>
      <c r="O91" s="26"/>
      <c r="P91" s="58"/>
    </row>
    <row r="92" spans="3:16" x14ac:dyDescent="0.35">
      <c r="C92" s="92"/>
      <c r="D92" s="26"/>
      <c r="E92" s="26"/>
      <c r="F92" s="26"/>
      <c r="G92" s="26"/>
      <c r="H92" s="26"/>
      <c r="I92" s="26"/>
      <c r="J92" s="26"/>
      <c r="K92" s="26"/>
      <c r="L92" s="26"/>
      <c r="M92" s="26"/>
      <c r="N92" s="26"/>
      <c r="O92" s="26"/>
      <c r="P92" s="58"/>
    </row>
    <row r="93" spans="3:16" x14ac:dyDescent="0.35">
      <c r="C93" s="92"/>
      <c r="D93" s="26"/>
      <c r="E93" s="26"/>
      <c r="F93" s="26"/>
      <c r="G93" s="26"/>
      <c r="H93" s="26"/>
      <c r="I93" s="26"/>
      <c r="J93" s="26"/>
      <c r="K93" s="26"/>
      <c r="L93" s="26"/>
      <c r="M93" s="26"/>
      <c r="N93" s="26"/>
      <c r="O93" s="26"/>
      <c r="P93" s="58"/>
    </row>
    <row r="94" spans="3:16" x14ac:dyDescent="0.35">
      <c r="C94" s="92"/>
      <c r="D94" s="26"/>
      <c r="E94" s="26"/>
      <c r="F94" s="26"/>
      <c r="G94" s="26"/>
      <c r="H94" s="26"/>
      <c r="I94" s="26"/>
      <c r="J94" s="26"/>
      <c r="K94" s="26"/>
      <c r="L94" s="26"/>
      <c r="M94" s="26"/>
      <c r="N94" s="26"/>
      <c r="O94" s="26"/>
      <c r="P94" s="58"/>
    </row>
    <row r="95" spans="3:16" x14ac:dyDescent="0.35">
      <c r="C95" s="92"/>
      <c r="D95" s="26"/>
      <c r="E95" s="26"/>
      <c r="F95" s="26"/>
      <c r="G95" s="26"/>
      <c r="H95" s="26"/>
      <c r="I95" s="26"/>
      <c r="J95" s="26"/>
      <c r="K95" s="26"/>
      <c r="L95" s="26"/>
      <c r="M95" s="26"/>
      <c r="N95" s="26"/>
      <c r="O95" s="26"/>
      <c r="P95" s="58"/>
    </row>
    <row r="96" spans="3:16" x14ac:dyDescent="0.35">
      <c r="C96" s="92"/>
      <c r="D96" s="26"/>
      <c r="E96" s="26"/>
      <c r="F96" s="26"/>
      <c r="G96" s="26"/>
      <c r="H96" s="26"/>
      <c r="I96" s="26"/>
      <c r="J96" s="26"/>
      <c r="K96" s="26"/>
      <c r="L96" s="26"/>
      <c r="M96" s="26"/>
      <c r="N96" s="26"/>
      <c r="O96" s="26"/>
      <c r="P96" s="58"/>
    </row>
    <row r="97" spans="3:16" x14ac:dyDescent="0.35">
      <c r="C97" s="92"/>
      <c r="D97" s="26"/>
      <c r="E97" s="26"/>
      <c r="F97" s="26"/>
      <c r="G97" s="26"/>
      <c r="H97" s="26"/>
      <c r="I97" s="26"/>
      <c r="J97" s="26"/>
      <c r="K97" s="26"/>
      <c r="L97" s="26"/>
      <c r="M97" s="26"/>
      <c r="N97" s="26"/>
      <c r="O97" s="26"/>
      <c r="P97" s="58"/>
    </row>
    <row r="98" spans="3:16" x14ac:dyDescent="0.35">
      <c r="C98" s="92"/>
      <c r="D98" s="26"/>
      <c r="E98" s="26"/>
      <c r="F98" s="26"/>
      <c r="G98" s="26"/>
      <c r="H98" s="26"/>
      <c r="I98" s="26"/>
      <c r="J98" s="26"/>
      <c r="K98" s="26"/>
      <c r="L98" s="26"/>
      <c r="M98" s="26"/>
      <c r="N98" s="26"/>
      <c r="O98" s="26"/>
      <c r="P98" s="58"/>
    </row>
    <row r="99" spans="3:16" x14ac:dyDescent="0.35">
      <c r="C99" s="92"/>
      <c r="D99" s="26"/>
      <c r="E99" s="26"/>
      <c r="F99" s="26"/>
      <c r="G99" s="26"/>
      <c r="H99" s="26"/>
      <c r="I99" s="26"/>
      <c r="J99" s="26"/>
      <c r="K99" s="26"/>
      <c r="L99" s="26"/>
      <c r="M99" s="26"/>
      <c r="N99" s="26"/>
      <c r="O99" s="26"/>
      <c r="P99" s="58"/>
    </row>
    <row r="100" spans="3:16" x14ac:dyDescent="0.35">
      <c r="C100" s="92"/>
      <c r="D100" s="26"/>
      <c r="E100" s="26"/>
      <c r="F100" s="26"/>
      <c r="G100" s="26"/>
      <c r="H100" s="26"/>
      <c r="I100" s="26"/>
      <c r="J100" s="26"/>
      <c r="K100" s="26"/>
      <c r="L100" s="26"/>
      <c r="M100" s="26"/>
      <c r="N100" s="26"/>
      <c r="O100" s="26"/>
      <c r="P100" s="58"/>
    </row>
    <row r="101" spans="3:16" x14ac:dyDescent="0.35">
      <c r="C101" s="92"/>
      <c r="D101" s="26"/>
      <c r="E101" s="26"/>
      <c r="F101" s="26"/>
      <c r="G101" s="26"/>
      <c r="H101" s="26"/>
      <c r="I101" s="26"/>
      <c r="J101" s="26"/>
      <c r="K101" s="26"/>
      <c r="L101" s="26"/>
      <c r="M101" s="26"/>
      <c r="N101" s="26"/>
      <c r="O101" s="26"/>
      <c r="P101" s="58"/>
    </row>
    <row r="102" spans="3:16" x14ac:dyDescent="0.35">
      <c r="C102" s="92"/>
      <c r="D102" s="26"/>
      <c r="E102" s="26"/>
      <c r="F102" s="26"/>
      <c r="G102" s="26"/>
      <c r="H102" s="26"/>
      <c r="I102" s="26"/>
      <c r="J102" s="26"/>
      <c r="K102" s="26"/>
      <c r="L102" s="26"/>
      <c r="M102" s="26"/>
      <c r="N102" s="26"/>
      <c r="O102" s="26"/>
      <c r="P102" s="58"/>
    </row>
    <row r="103" spans="3:16" x14ac:dyDescent="0.35">
      <c r="C103" s="92"/>
      <c r="D103" s="26"/>
      <c r="E103" s="26"/>
      <c r="F103" s="26"/>
      <c r="G103" s="26"/>
      <c r="H103" s="26"/>
      <c r="I103" s="26"/>
      <c r="J103" s="26"/>
      <c r="K103" s="26"/>
      <c r="L103" s="26"/>
      <c r="M103" s="26"/>
      <c r="N103" s="26"/>
      <c r="O103" s="26"/>
      <c r="P103" s="58"/>
    </row>
    <row r="104" spans="3:16" ht="15" thickBot="1" x14ac:dyDescent="0.4">
      <c r="C104" s="112"/>
      <c r="D104" s="47"/>
      <c r="E104" s="47"/>
      <c r="F104" s="47"/>
      <c r="G104" s="47"/>
      <c r="H104" s="47"/>
      <c r="I104" s="47"/>
      <c r="J104" s="47"/>
      <c r="K104" s="47"/>
      <c r="L104" s="47"/>
      <c r="M104" s="47"/>
      <c r="N104" s="47"/>
      <c r="O104" s="47"/>
      <c r="P104" s="60"/>
    </row>
  </sheetData>
  <mergeCells count="6">
    <mergeCell ref="C3:D3"/>
    <mergeCell ref="F3:G3"/>
    <mergeCell ref="I3:J3"/>
    <mergeCell ref="L3:M3"/>
    <mergeCell ref="O3:P3"/>
    <mergeCell ref="C1:P1"/>
  </mergeCells>
  <pageMargins left="0.75" right="0.75" top="1" bottom="1" header="0.5" footer="0.5"/>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tint="-0.499984740745262"/>
  </sheetPr>
  <dimension ref="A1:T70"/>
  <sheetViews>
    <sheetView showGridLines="0" zoomScale="40" zoomScaleNormal="40" workbookViewId="0">
      <selection activeCell="Y39" sqref="Y39"/>
    </sheetView>
  </sheetViews>
  <sheetFormatPr defaultRowHeight="14.5" x14ac:dyDescent="0.35"/>
  <sheetData>
    <row r="1" spans="1:20" ht="14.5" customHeight="1" x14ac:dyDescent="0.35"/>
    <row r="2" spans="1:20" ht="15" thickBot="1" x14ac:dyDescent="0.4"/>
    <row r="3" spans="1:20" x14ac:dyDescent="0.35">
      <c r="C3" s="149" t="s">
        <v>479</v>
      </c>
      <c r="D3" s="150"/>
      <c r="E3" s="150"/>
      <c r="F3" s="150"/>
      <c r="G3" s="150"/>
      <c r="H3" s="150"/>
      <c r="I3" s="150"/>
      <c r="J3" s="150"/>
      <c r="K3" s="150"/>
      <c r="L3" s="150"/>
      <c r="M3" s="150"/>
      <c r="N3" s="150"/>
      <c r="O3" s="150"/>
      <c r="P3" s="150"/>
      <c r="Q3" s="150"/>
      <c r="R3" s="150"/>
      <c r="S3" s="150"/>
      <c r="T3" s="151"/>
    </row>
    <row r="4" spans="1:20" x14ac:dyDescent="0.35">
      <c r="C4" s="152"/>
      <c r="D4" s="153"/>
      <c r="E4" s="153"/>
      <c r="F4" s="153"/>
      <c r="G4" s="153"/>
      <c r="H4" s="153"/>
      <c r="I4" s="153"/>
      <c r="J4" s="153"/>
      <c r="K4" s="153"/>
      <c r="L4" s="153"/>
      <c r="M4" s="153"/>
      <c r="N4" s="153"/>
      <c r="O4" s="153"/>
      <c r="P4" s="153"/>
      <c r="Q4" s="153"/>
      <c r="R4" s="153"/>
      <c r="S4" s="153"/>
      <c r="T4" s="154"/>
    </row>
    <row r="5" spans="1:20" ht="18.5" x14ac:dyDescent="0.45">
      <c r="A5" s="2"/>
      <c r="B5" s="21"/>
      <c r="C5" s="152"/>
      <c r="D5" s="153"/>
      <c r="E5" s="153"/>
      <c r="F5" s="153"/>
      <c r="G5" s="153"/>
      <c r="H5" s="153"/>
      <c r="I5" s="153"/>
      <c r="J5" s="153"/>
      <c r="K5" s="153"/>
      <c r="L5" s="153"/>
      <c r="M5" s="153"/>
      <c r="N5" s="153"/>
      <c r="O5" s="153"/>
      <c r="P5" s="153"/>
      <c r="Q5" s="153"/>
      <c r="R5" s="153"/>
      <c r="S5" s="153"/>
      <c r="T5" s="154"/>
    </row>
    <row r="6" spans="1:20" x14ac:dyDescent="0.35">
      <c r="A6" s="1"/>
      <c r="B6" s="21"/>
      <c r="C6" s="155" t="s">
        <v>478</v>
      </c>
      <c r="D6" s="156"/>
      <c r="E6" s="156"/>
      <c r="F6" s="156"/>
      <c r="G6" s="156"/>
      <c r="H6" s="156"/>
      <c r="I6" s="156"/>
      <c r="J6" s="156"/>
      <c r="K6" s="156"/>
      <c r="L6" s="156"/>
      <c r="M6" s="156"/>
      <c r="N6" s="156"/>
      <c r="O6" s="156"/>
      <c r="P6" s="156"/>
      <c r="Q6" s="156"/>
      <c r="R6" s="156"/>
      <c r="S6" s="156"/>
      <c r="T6" s="157"/>
    </row>
    <row r="7" spans="1:20" x14ac:dyDescent="0.35">
      <c r="A7" s="1"/>
      <c r="B7" s="21"/>
      <c r="C7" s="158"/>
      <c r="D7" s="1"/>
      <c r="E7" s="1"/>
      <c r="F7" s="1"/>
      <c r="G7" s="1"/>
      <c r="H7" s="1"/>
      <c r="I7" s="26"/>
      <c r="J7" s="26"/>
      <c r="K7" s="26"/>
      <c r="L7" s="26"/>
      <c r="M7" s="26"/>
      <c r="N7" s="26"/>
      <c r="O7" s="26"/>
      <c r="P7" s="26"/>
      <c r="Q7" s="26"/>
      <c r="R7" s="26"/>
      <c r="S7" s="26"/>
      <c r="T7" s="58"/>
    </row>
    <row r="8" spans="1:20" ht="26" x14ac:dyDescent="0.6">
      <c r="A8" s="1"/>
      <c r="B8" s="21"/>
      <c r="C8" s="159" t="s">
        <v>417</v>
      </c>
      <c r="D8" s="134"/>
      <c r="E8" s="134"/>
      <c r="F8" s="135"/>
      <c r="G8" s="1"/>
      <c r="H8" s="136" t="s">
        <v>418</v>
      </c>
      <c r="I8" s="137"/>
      <c r="J8" s="137"/>
      <c r="K8" s="137"/>
      <c r="L8" s="26"/>
      <c r="M8" s="160" t="s">
        <v>480</v>
      </c>
      <c r="N8" s="160"/>
      <c r="O8" s="160"/>
      <c r="P8" s="160"/>
      <c r="Q8" s="26"/>
      <c r="R8" s="161" t="s">
        <v>432</v>
      </c>
      <c r="S8" s="161"/>
      <c r="T8" s="162"/>
    </row>
    <row r="9" spans="1:20" ht="26" x14ac:dyDescent="0.6">
      <c r="A9" s="1"/>
      <c r="B9" s="21"/>
      <c r="C9" s="163"/>
      <c r="D9" s="140"/>
      <c r="E9" s="140"/>
      <c r="F9" s="141"/>
      <c r="G9" s="17"/>
      <c r="H9" s="138"/>
      <c r="I9" s="139"/>
      <c r="J9" s="139"/>
      <c r="K9" s="139"/>
      <c r="L9" s="164"/>
      <c r="M9" s="139"/>
      <c r="N9" s="139"/>
      <c r="O9" s="139"/>
      <c r="P9" s="139"/>
      <c r="Q9" s="164"/>
      <c r="R9" s="139"/>
      <c r="S9" s="139"/>
      <c r="T9" s="165"/>
    </row>
    <row r="10" spans="1:20" x14ac:dyDescent="0.35">
      <c r="A10" s="1"/>
      <c r="B10" s="21"/>
      <c r="C10" s="166">
        <f>SUM('Raw Data'!N:N)</f>
        <v>229192.47000000032</v>
      </c>
      <c r="D10" s="144"/>
      <c r="E10" s="144"/>
      <c r="F10" s="145"/>
      <c r="G10" s="1"/>
      <c r="H10" s="142">
        <f>COUNTA('Raw Data'!A:A)</f>
        <v>251</v>
      </c>
      <c r="I10" s="143"/>
      <c r="J10" s="143"/>
      <c r="K10" s="143"/>
      <c r="L10" s="26"/>
      <c r="M10" s="167" cm="1">
        <f t="array" ref="M10">SUMPRODUCT(1/COUNTIF('Raw Data'!C2:C251,'Raw Data'!C2:C251))</f>
        <v>50.000000000000028</v>
      </c>
      <c r="N10" s="167"/>
      <c r="O10" s="167"/>
      <c r="P10" s="167"/>
      <c r="Q10" s="26"/>
      <c r="R10" s="168">
        <f>AVERAGE('Raw Data'!N:N)</f>
        <v>916.76988000000131</v>
      </c>
      <c r="S10" s="168"/>
      <c r="T10" s="169"/>
    </row>
    <row r="11" spans="1:20" ht="21" x14ac:dyDescent="0.5">
      <c r="A11" s="3"/>
      <c r="B11" s="21"/>
      <c r="C11" s="170"/>
      <c r="D11" s="171"/>
      <c r="E11" s="171"/>
      <c r="F11" s="146"/>
      <c r="G11" s="1"/>
      <c r="H11" s="142"/>
      <c r="I11" s="143"/>
      <c r="J11" s="143"/>
      <c r="K11" s="143"/>
      <c r="L11" s="26"/>
      <c r="M11" s="167"/>
      <c r="N11" s="167"/>
      <c r="O11" s="167"/>
      <c r="P11" s="167"/>
      <c r="Q11" s="26"/>
      <c r="R11" s="168"/>
      <c r="S11" s="168"/>
      <c r="T11" s="169"/>
    </row>
    <row r="12" spans="1:20" x14ac:dyDescent="0.35">
      <c r="A12" s="1"/>
      <c r="B12" s="21"/>
      <c r="C12" s="170"/>
      <c r="D12" s="171"/>
      <c r="E12" s="171"/>
      <c r="F12" s="146"/>
      <c r="G12" s="1"/>
      <c r="H12" s="142"/>
      <c r="I12" s="143"/>
      <c r="J12" s="143"/>
      <c r="K12" s="143"/>
      <c r="L12" s="26"/>
      <c r="M12" s="167"/>
      <c r="N12" s="167"/>
      <c r="O12" s="167"/>
      <c r="P12" s="167"/>
      <c r="Q12" s="26"/>
      <c r="R12" s="168"/>
      <c r="S12" s="168"/>
      <c r="T12" s="169"/>
    </row>
    <row r="13" spans="1:20" x14ac:dyDescent="0.35">
      <c r="A13" s="1"/>
      <c r="B13" s="21"/>
      <c r="C13" s="172"/>
      <c r="D13" s="147"/>
      <c r="E13" s="147"/>
      <c r="F13" s="148"/>
      <c r="G13" s="1"/>
      <c r="H13" s="142"/>
      <c r="I13" s="143"/>
      <c r="J13" s="143"/>
      <c r="K13" s="143"/>
      <c r="L13" s="26"/>
      <c r="M13" s="167"/>
      <c r="N13" s="167"/>
      <c r="O13" s="167"/>
      <c r="P13" s="167"/>
      <c r="Q13" s="26"/>
      <c r="R13" s="168"/>
      <c r="S13" s="168"/>
      <c r="T13" s="169"/>
    </row>
    <row r="14" spans="1:20" x14ac:dyDescent="0.35">
      <c r="A14" s="1"/>
      <c r="B14" s="21"/>
      <c r="C14" s="173"/>
      <c r="D14" s="1"/>
      <c r="E14" s="1"/>
      <c r="F14" s="1"/>
      <c r="G14" s="1"/>
      <c r="H14" s="1"/>
      <c r="I14" s="26"/>
      <c r="J14" s="26"/>
      <c r="K14" s="26"/>
      <c r="L14" s="26"/>
      <c r="M14" s="26"/>
      <c r="N14" s="26"/>
      <c r="O14" s="26"/>
      <c r="P14" s="26"/>
      <c r="Q14" s="26"/>
      <c r="R14" s="26"/>
      <c r="S14" s="26"/>
      <c r="T14" s="58"/>
    </row>
    <row r="15" spans="1:20" x14ac:dyDescent="0.35">
      <c r="A15" s="1"/>
      <c r="B15" s="21"/>
      <c r="C15" s="158"/>
      <c r="D15" s="1"/>
      <c r="E15" s="1"/>
      <c r="F15" s="1"/>
      <c r="G15" s="1"/>
      <c r="H15" s="1"/>
      <c r="I15" s="26"/>
      <c r="J15" s="26"/>
      <c r="K15" s="26"/>
      <c r="L15" s="26"/>
      <c r="M15" s="26"/>
      <c r="N15" s="26"/>
      <c r="O15" s="26"/>
      <c r="P15" s="26"/>
      <c r="Q15" s="26"/>
      <c r="R15" s="26"/>
      <c r="S15" s="26"/>
      <c r="T15" s="58"/>
    </row>
    <row r="16" spans="1:20" x14ac:dyDescent="0.35">
      <c r="A16" s="1"/>
      <c r="B16" s="21"/>
      <c r="C16" s="158"/>
      <c r="D16" s="1"/>
      <c r="E16" s="1"/>
      <c r="F16" s="1"/>
      <c r="G16" s="1"/>
      <c r="H16" s="1"/>
      <c r="I16" s="26"/>
      <c r="J16" s="26"/>
      <c r="K16" s="26"/>
      <c r="L16" s="26"/>
      <c r="M16" s="26"/>
      <c r="N16" s="26"/>
      <c r="O16" s="26"/>
      <c r="P16" s="26"/>
      <c r="Q16" s="26"/>
      <c r="R16" s="26"/>
      <c r="S16" s="26"/>
      <c r="T16" s="58"/>
    </row>
    <row r="17" spans="1:20" x14ac:dyDescent="0.35">
      <c r="A17" s="1"/>
      <c r="B17" s="21"/>
      <c r="C17" s="158"/>
      <c r="D17" s="1"/>
      <c r="E17" s="1"/>
      <c r="F17" s="1"/>
      <c r="G17" s="1"/>
      <c r="H17" s="1"/>
      <c r="I17" s="26"/>
      <c r="J17" s="26"/>
      <c r="K17" s="26"/>
      <c r="L17" s="26"/>
      <c r="M17" s="26"/>
      <c r="N17" s="26"/>
      <c r="O17" s="26"/>
      <c r="P17" s="26"/>
      <c r="Q17" s="26"/>
      <c r="R17" s="26"/>
      <c r="S17" s="26"/>
      <c r="T17" s="58"/>
    </row>
    <row r="18" spans="1:20" x14ac:dyDescent="0.35">
      <c r="C18" s="92"/>
      <c r="D18" s="26"/>
      <c r="E18" s="26"/>
      <c r="F18" s="26"/>
      <c r="G18" s="26"/>
      <c r="H18" s="26"/>
      <c r="I18" s="26"/>
      <c r="J18" s="26"/>
      <c r="K18" s="26"/>
      <c r="L18" s="26"/>
      <c r="M18" s="26"/>
      <c r="N18" s="26"/>
      <c r="O18" s="26"/>
      <c r="P18" s="26"/>
      <c r="Q18" s="26"/>
      <c r="R18" s="26"/>
      <c r="S18" s="26"/>
      <c r="T18" s="58"/>
    </row>
    <row r="19" spans="1:20" x14ac:dyDescent="0.35">
      <c r="C19" s="92"/>
      <c r="D19" s="26"/>
      <c r="E19" s="26"/>
      <c r="F19" s="26"/>
      <c r="G19" s="26"/>
      <c r="H19" s="26"/>
      <c r="I19" s="26"/>
      <c r="J19" s="26"/>
      <c r="K19" s="26"/>
      <c r="L19" s="26"/>
      <c r="M19" s="26"/>
      <c r="N19" s="26"/>
      <c r="O19" s="26"/>
      <c r="P19" s="26"/>
      <c r="Q19" s="26"/>
      <c r="R19" s="26"/>
      <c r="S19" s="26"/>
      <c r="T19" s="58"/>
    </row>
    <row r="20" spans="1:20" x14ac:dyDescent="0.35">
      <c r="C20" s="92"/>
      <c r="D20" s="26"/>
      <c r="E20" s="26"/>
      <c r="F20" s="26"/>
      <c r="G20" s="26"/>
      <c r="H20" s="26"/>
      <c r="I20" s="26"/>
      <c r="J20" s="26"/>
      <c r="K20" s="26"/>
      <c r="L20" s="26"/>
      <c r="M20" s="26"/>
      <c r="N20" s="26"/>
      <c r="O20" s="26"/>
      <c r="P20" s="26"/>
      <c r="Q20" s="26"/>
      <c r="R20" s="26"/>
      <c r="S20" s="26"/>
      <c r="T20" s="58"/>
    </row>
    <row r="21" spans="1:20" x14ac:dyDescent="0.35">
      <c r="C21" s="92"/>
      <c r="D21" s="26"/>
      <c r="E21" s="26"/>
      <c r="F21" s="26"/>
      <c r="G21" s="26"/>
      <c r="H21" s="26"/>
      <c r="I21" s="26"/>
      <c r="J21" s="26"/>
      <c r="K21" s="26"/>
      <c r="L21" s="26"/>
      <c r="M21" s="26"/>
      <c r="N21" s="26"/>
      <c r="O21" s="26"/>
      <c r="P21" s="26"/>
      <c r="Q21" s="26"/>
      <c r="R21" s="26"/>
      <c r="S21" s="26"/>
      <c r="T21" s="58"/>
    </row>
    <row r="22" spans="1:20" x14ac:dyDescent="0.35">
      <c r="C22" s="92"/>
      <c r="D22" s="26"/>
      <c r="E22" s="26"/>
      <c r="F22" s="26"/>
      <c r="G22" s="26"/>
      <c r="H22" s="26"/>
      <c r="I22" s="26"/>
      <c r="J22" s="26"/>
      <c r="K22" s="26"/>
      <c r="L22" s="26"/>
      <c r="M22" s="26"/>
      <c r="N22" s="26"/>
      <c r="O22" s="26"/>
      <c r="P22" s="26"/>
      <c r="Q22" s="26"/>
      <c r="R22" s="26"/>
      <c r="S22" s="26"/>
      <c r="T22" s="58"/>
    </row>
    <row r="23" spans="1:20" x14ac:dyDescent="0.35">
      <c r="C23" s="92"/>
      <c r="D23" s="26"/>
      <c r="E23" s="26"/>
      <c r="F23" s="26"/>
      <c r="G23" s="26"/>
      <c r="H23" s="26"/>
      <c r="I23" s="26"/>
      <c r="J23" s="26"/>
      <c r="K23" s="26"/>
      <c r="L23" s="26"/>
      <c r="M23" s="26"/>
      <c r="N23" s="26"/>
      <c r="O23" s="26"/>
      <c r="P23" s="26"/>
      <c r="Q23" s="26"/>
      <c r="R23" s="26"/>
      <c r="S23" s="26"/>
      <c r="T23" s="58"/>
    </row>
    <row r="24" spans="1:20" x14ac:dyDescent="0.35">
      <c r="C24" s="92"/>
      <c r="D24" s="26"/>
      <c r="E24" s="26"/>
      <c r="F24" s="26"/>
      <c r="G24" s="26"/>
      <c r="H24" s="26"/>
      <c r="I24" s="26"/>
      <c r="J24" s="26"/>
      <c r="K24" s="26"/>
      <c r="L24" s="26"/>
      <c r="M24" s="26"/>
      <c r="N24" s="26"/>
      <c r="O24" s="26"/>
      <c r="P24" s="26"/>
      <c r="Q24" s="26"/>
      <c r="R24" s="26"/>
      <c r="S24" s="26"/>
      <c r="T24" s="58"/>
    </row>
    <row r="25" spans="1:20" x14ac:dyDescent="0.35">
      <c r="C25" s="92"/>
      <c r="D25" s="26"/>
      <c r="E25" s="26"/>
      <c r="F25" s="26"/>
      <c r="G25" s="26"/>
      <c r="H25" s="26"/>
      <c r="I25" s="26"/>
      <c r="J25" s="26"/>
      <c r="K25" s="26"/>
      <c r="L25" s="26"/>
      <c r="M25" s="26"/>
      <c r="N25" s="26"/>
      <c r="O25" s="26"/>
      <c r="P25" s="26"/>
      <c r="Q25" s="26"/>
      <c r="R25" s="26"/>
      <c r="S25" s="26"/>
      <c r="T25" s="58"/>
    </row>
    <row r="26" spans="1:20" x14ac:dyDescent="0.35">
      <c r="C26" s="92"/>
      <c r="D26" s="26"/>
      <c r="E26" s="26"/>
      <c r="F26" s="26"/>
      <c r="G26" s="26"/>
      <c r="H26" s="26"/>
      <c r="I26" s="26"/>
      <c r="J26" s="26"/>
      <c r="K26" s="26"/>
      <c r="L26" s="26"/>
      <c r="M26" s="26"/>
      <c r="N26" s="26"/>
      <c r="O26" s="26"/>
      <c r="P26" s="26"/>
      <c r="Q26" s="26"/>
      <c r="R26" s="26"/>
      <c r="S26" s="26"/>
      <c r="T26" s="58"/>
    </row>
    <row r="27" spans="1:20" x14ac:dyDescent="0.35">
      <c r="C27" s="92"/>
      <c r="D27" s="26"/>
      <c r="E27" s="26"/>
      <c r="F27" s="26"/>
      <c r="G27" s="26"/>
      <c r="H27" s="26"/>
      <c r="I27" s="26"/>
      <c r="J27" s="26"/>
      <c r="K27" s="26"/>
      <c r="L27" s="26"/>
      <c r="M27" s="26"/>
      <c r="N27" s="26"/>
      <c r="O27" s="26"/>
      <c r="P27" s="26"/>
      <c r="Q27" s="26"/>
      <c r="R27" s="26"/>
      <c r="S27" s="26"/>
      <c r="T27" s="58"/>
    </row>
    <row r="28" spans="1:20" x14ac:dyDescent="0.35">
      <c r="C28" s="92"/>
      <c r="D28" s="26"/>
      <c r="E28" s="26"/>
      <c r="F28" s="26"/>
      <c r="G28" s="26"/>
      <c r="H28" s="26"/>
      <c r="I28" s="26"/>
      <c r="J28" s="26"/>
      <c r="K28" s="26"/>
      <c r="L28" s="26"/>
      <c r="M28" s="26"/>
      <c r="N28" s="26"/>
      <c r="O28" s="26"/>
      <c r="P28" s="26"/>
      <c r="Q28" s="26"/>
      <c r="R28" s="26"/>
      <c r="S28" s="26"/>
      <c r="T28" s="58"/>
    </row>
    <row r="29" spans="1:20" x14ac:dyDescent="0.35">
      <c r="C29" s="92"/>
      <c r="D29" s="26"/>
      <c r="E29" s="26"/>
      <c r="F29" s="26"/>
      <c r="G29" s="26"/>
      <c r="H29" s="26"/>
      <c r="I29" s="26"/>
      <c r="J29" s="26"/>
      <c r="K29" s="26"/>
      <c r="L29" s="26"/>
      <c r="M29" s="26"/>
      <c r="N29" s="26"/>
      <c r="O29" s="26"/>
      <c r="P29" s="26"/>
      <c r="Q29" s="26"/>
      <c r="R29" s="26"/>
      <c r="S29" s="26"/>
      <c r="T29" s="58"/>
    </row>
    <row r="30" spans="1:20" x14ac:dyDescent="0.35">
      <c r="C30" s="92"/>
      <c r="D30" s="26"/>
      <c r="E30" s="26"/>
      <c r="F30" s="26"/>
      <c r="G30" s="26"/>
      <c r="H30" s="26"/>
      <c r="I30" s="26"/>
      <c r="J30" s="26"/>
      <c r="K30" s="26"/>
      <c r="L30" s="26"/>
      <c r="M30" s="26"/>
      <c r="N30" s="26"/>
      <c r="O30" s="26"/>
      <c r="P30" s="26"/>
      <c r="Q30" s="26"/>
      <c r="R30" s="26"/>
      <c r="S30" s="26"/>
      <c r="T30" s="58"/>
    </row>
    <row r="31" spans="1:20" x14ac:dyDescent="0.35">
      <c r="C31" s="92"/>
      <c r="D31" s="26"/>
      <c r="E31" s="26"/>
      <c r="F31" s="26"/>
      <c r="G31" s="26"/>
      <c r="H31" s="26"/>
      <c r="I31" s="26"/>
      <c r="J31" s="26"/>
      <c r="K31" s="26"/>
      <c r="L31" s="26"/>
      <c r="M31" s="26"/>
      <c r="N31" s="26"/>
      <c r="O31" s="26"/>
      <c r="P31" s="26"/>
      <c r="Q31" s="26"/>
      <c r="R31" s="26"/>
      <c r="S31" s="26"/>
      <c r="T31" s="58"/>
    </row>
    <row r="32" spans="1:20" x14ac:dyDescent="0.35">
      <c r="C32" s="92"/>
      <c r="D32" s="26"/>
      <c r="E32" s="26"/>
      <c r="F32" s="26"/>
      <c r="G32" s="26"/>
      <c r="H32" s="26"/>
      <c r="I32" s="26"/>
      <c r="J32" s="26"/>
      <c r="K32" s="26"/>
      <c r="L32" s="26"/>
      <c r="M32" s="26"/>
      <c r="N32" s="26"/>
      <c r="O32" s="26"/>
      <c r="P32" s="26"/>
      <c r="Q32" s="26"/>
      <c r="R32" s="26"/>
      <c r="S32" s="26"/>
      <c r="T32" s="58"/>
    </row>
    <row r="33" spans="3:20" x14ac:dyDescent="0.35">
      <c r="C33" s="92"/>
      <c r="D33" s="26"/>
      <c r="E33" s="26"/>
      <c r="F33" s="26"/>
      <c r="G33" s="26"/>
      <c r="H33" s="26"/>
      <c r="I33" s="26"/>
      <c r="J33" s="26"/>
      <c r="K33" s="26"/>
      <c r="L33" s="26"/>
      <c r="M33" s="26"/>
      <c r="N33" s="26"/>
      <c r="O33" s="26"/>
      <c r="P33" s="26"/>
      <c r="Q33" s="26"/>
      <c r="R33" s="26"/>
      <c r="S33" s="26"/>
      <c r="T33" s="58"/>
    </row>
    <row r="34" spans="3:20" x14ac:dyDescent="0.35">
      <c r="C34" s="92"/>
      <c r="D34" s="26"/>
      <c r="E34" s="26"/>
      <c r="F34" s="26"/>
      <c r="G34" s="26"/>
      <c r="H34" s="26"/>
      <c r="I34" s="26"/>
      <c r="J34" s="26"/>
      <c r="K34" s="26"/>
      <c r="L34" s="26"/>
      <c r="M34" s="26"/>
      <c r="N34" s="26"/>
      <c r="O34" s="26"/>
      <c r="P34" s="26"/>
      <c r="Q34" s="26"/>
      <c r="R34" s="26"/>
      <c r="S34" s="26"/>
      <c r="T34" s="58"/>
    </row>
    <row r="35" spans="3:20" x14ac:dyDescent="0.35">
      <c r="C35" s="92"/>
      <c r="D35" s="26"/>
      <c r="E35" s="26"/>
      <c r="F35" s="26"/>
      <c r="G35" s="26"/>
      <c r="H35" s="26"/>
      <c r="I35" s="26"/>
      <c r="J35" s="26"/>
      <c r="K35" s="26"/>
      <c r="L35" s="26"/>
      <c r="M35" s="26"/>
      <c r="N35" s="26"/>
      <c r="O35" s="26"/>
      <c r="P35" s="26"/>
      <c r="Q35" s="26"/>
      <c r="R35" s="26"/>
      <c r="S35" s="26"/>
      <c r="T35" s="58"/>
    </row>
    <row r="36" spans="3:20" x14ac:dyDescent="0.35">
      <c r="C36" s="92"/>
      <c r="D36" s="26"/>
      <c r="E36" s="26"/>
      <c r="F36" s="26"/>
      <c r="G36" s="26"/>
      <c r="H36" s="26"/>
      <c r="I36" s="26"/>
      <c r="J36" s="26"/>
      <c r="K36" s="26"/>
      <c r="L36" s="26"/>
      <c r="M36" s="26"/>
      <c r="N36" s="26"/>
      <c r="O36" s="26"/>
      <c r="P36" s="26"/>
      <c r="Q36" s="26"/>
      <c r="R36" s="26"/>
      <c r="S36" s="26"/>
      <c r="T36" s="58"/>
    </row>
    <row r="37" spans="3:20" x14ac:dyDescent="0.35">
      <c r="C37" s="92"/>
      <c r="D37" s="26"/>
      <c r="E37" s="26"/>
      <c r="F37" s="26"/>
      <c r="G37" s="26"/>
      <c r="H37" s="26"/>
      <c r="I37" s="26"/>
      <c r="J37" s="26"/>
      <c r="K37" s="26"/>
      <c r="L37" s="26"/>
      <c r="M37" s="26"/>
      <c r="N37" s="26"/>
      <c r="O37" s="26"/>
      <c r="P37" s="26"/>
      <c r="Q37" s="26"/>
      <c r="R37" s="26"/>
      <c r="S37" s="26"/>
      <c r="T37" s="58"/>
    </row>
    <row r="38" spans="3:20" x14ac:dyDescent="0.35">
      <c r="C38" s="92"/>
      <c r="D38" s="26"/>
      <c r="E38" s="26"/>
      <c r="F38" s="26"/>
      <c r="G38" s="26"/>
      <c r="H38" s="26"/>
      <c r="I38" s="26"/>
      <c r="J38" s="26"/>
      <c r="K38" s="26"/>
      <c r="L38" s="26"/>
      <c r="M38" s="26"/>
      <c r="N38" s="26"/>
      <c r="O38" s="26"/>
      <c r="P38" s="26"/>
      <c r="Q38" s="26"/>
      <c r="R38" s="26"/>
      <c r="S38" s="26"/>
      <c r="T38" s="58"/>
    </row>
    <row r="39" spans="3:20" x14ac:dyDescent="0.35">
      <c r="C39" s="92"/>
      <c r="D39" s="26"/>
      <c r="E39" s="26"/>
      <c r="F39" s="26"/>
      <c r="G39" s="26"/>
      <c r="H39" s="26"/>
      <c r="I39" s="26"/>
      <c r="J39" s="26"/>
      <c r="K39" s="26"/>
      <c r="L39" s="26"/>
      <c r="M39" s="26"/>
      <c r="N39" s="26"/>
      <c r="O39" s="26"/>
      <c r="P39" s="26"/>
      <c r="Q39" s="26"/>
      <c r="R39" s="26"/>
      <c r="S39" s="26"/>
      <c r="T39" s="58"/>
    </row>
    <row r="40" spans="3:20" x14ac:dyDescent="0.35">
      <c r="C40" s="92"/>
      <c r="D40" s="26"/>
      <c r="E40" s="26"/>
      <c r="F40" s="26"/>
      <c r="G40" s="26"/>
      <c r="H40" s="26"/>
      <c r="I40" s="26"/>
      <c r="J40" s="26"/>
      <c r="K40" s="26"/>
      <c r="L40" s="26"/>
      <c r="M40" s="26"/>
      <c r="N40" s="26"/>
      <c r="O40" s="26"/>
      <c r="P40" s="26"/>
      <c r="Q40" s="26"/>
      <c r="R40" s="26"/>
      <c r="S40" s="26"/>
      <c r="T40" s="58"/>
    </row>
    <row r="41" spans="3:20" x14ac:dyDescent="0.35">
      <c r="C41" s="92"/>
      <c r="D41" s="26"/>
      <c r="E41" s="26"/>
      <c r="F41" s="26"/>
      <c r="G41" s="26"/>
      <c r="H41" s="26"/>
      <c r="I41" s="26"/>
      <c r="J41" s="26"/>
      <c r="K41" s="26"/>
      <c r="L41" s="26"/>
      <c r="M41" s="26"/>
      <c r="N41" s="26"/>
      <c r="O41" s="26"/>
      <c r="P41" s="26"/>
      <c r="Q41" s="26"/>
      <c r="R41" s="26"/>
      <c r="S41" s="26"/>
      <c r="T41" s="58"/>
    </row>
    <row r="42" spans="3:20" x14ac:dyDescent="0.35">
      <c r="C42" s="92"/>
      <c r="D42" s="26"/>
      <c r="E42" s="26"/>
      <c r="F42" s="26"/>
      <c r="G42" s="26"/>
      <c r="H42" s="26"/>
      <c r="I42" s="26"/>
      <c r="J42" s="26"/>
      <c r="K42" s="26"/>
      <c r="L42" s="26"/>
      <c r="M42" s="26"/>
      <c r="N42" s="26"/>
      <c r="O42" s="26"/>
      <c r="P42" s="26"/>
      <c r="Q42" s="26"/>
      <c r="R42" s="26"/>
      <c r="S42" s="26"/>
      <c r="T42" s="58"/>
    </row>
    <row r="43" spans="3:20" x14ac:dyDescent="0.35">
      <c r="C43" s="92"/>
      <c r="D43" s="26"/>
      <c r="E43" s="26"/>
      <c r="F43" s="26"/>
      <c r="G43" s="26"/>
      <c r="H43" s="26"/>
      <c r="I43" s="26"/>
      <c r="J43" s="26"/>
      <c r="K43" s="26"/>
      <c r="L43" s="26"/>
      <c r="M43" s="26"/>
      <c r="N43" s="26"/>
      <c r="O43" s="26"/>
      <c r="P43" s="26"/>
      <c r="Q43" s="26"/>
      <c r="R43" s="26"/>
      <c r="S43" s="26"/>
      <c r="T43" s="58"/>
    </row>
    <row r="44" spans="3:20" x14ac:dyDescent="0.35">
      <c r="C44" s="92"/>
      <c r="D44" s="26"/>
      <c r="E44" s="26"/>
      <c r="F44" s="26"/>
      <c r="G44" s="26"/>
      <c r="H44" s="26"/>
      <c r="I44" s="26"/>
      <c r="J44" s="26"/>
      <c r="K44" s="26"/>
      <c r="L44" s="26"/>
      <c r="M44" s="26"/>
      <c r="N44" s="26"/>
      <c r="O44" s="26"/>
      <c r="P44" s="26"/>
      <c r="Q44" s="26"/>
      <c r="R44" s="26"/>
      <c r="S44" s="26"/>
      <c r="T44" s="58"/>
    </row>
    <row r="45" spans="3:20" x14ac:dyDescent="0.35">
      <c r="C45" s="92"/>
      <c r="D45" s="26"/>
      <c r="E45" s="26"/>
      <c r="F45" s="26"/>
      <c r="G45" s="26"/>
      <c r="H45" s="26"/>
      <c r="I45" s="26"/>
      <c r="J45" s="26"/>
      <c r="K45" s="26"/>
      <c r="L45" s="26"/>
      <c r="M45" s="26"/>
      <c r="N45" s="26"/>
      <c r="O45" s="26"/>
      <c r="P45" s="26"/>
      <c r="Q45" s="26"/>
      <c r="R45" s="26"/>
      <c r="S45" s="26"/>
      <c r="T45" s="58"/>
    </row>
    <row r="46" spans="3:20" x14ac:dyDescent="0.35">
      <c r="C46" s="92"/>
      <c r="D46" s="26"/>
      <c r="E46" s="26"/>
      <c r="F46" s="26"/>
      <c r="G46" s="26"/>
      <c r="H46" s="26"/>
      <c r="I46" s="26"/>
      <c r="J46" s="26"/>
      <c r="K46" s="26"/>
      <c r="L46" s="26"/>
      <c r="M46" s="26"/>
      <c r="N46" s="26"/>
      <c r="O46" s="26"/>
      <c r="P46" s="26"/>
      <c r="Q46" s="26"/>
      <c r="R46" s="26"/>
      <c r="S46" s="26"/>
      <c r="T46" s="58"/>
    </row>
    <row r="47" spans="3:20" x14ac:dyDescent="0.35">
      <c r="C47" s="92"/>
      <c r="D47" s="26"/>
      <c r="E47" s="26"/>
      <c r="F47" s="26"/>
      <c r="G47" s="26"/>
      <c r="H47" s="26"/>
      <c r="I47" s="26"/>
      <c r="J47" s="26"/>
      <c r="K47" s="26"/>
      <c r="L47" s="26"/>
      <c r="M47" s="26"/>
      <c r="N47" s="26"/>
      <c r="O47" s="26"/>
      <c r="P47" s="26"/>
      <c r="Q47" s="26"/>
      <c r="R47" s="26"/>
      <c r="S47" s="26"/>
      <c r="T47" s="58"/>
    </row>
    <row r="48" spans="3:20" x14ac:dyDescent="0.35">
      <c r="C48" s="92"/>
      <c r="D48" s="26"/>
      <c r="E48" s="26"/>
      <c r="F48" s="26"/>
      <c r="G48" s="26"/>
      <c r="H48" s="26"/>
      <c r="I48" s="26"/>
      <c r="J48" s="26"/>
      <c r="K48" s="26"/>
      <c r="L48" s="26"/>
      <c r="M48" s="26"/>
      <c r="N48" s="26"/>
      <c r="O48" s="26"/>
      <c r="P48" s="26"/>
      <c r="Q48" s="26"/>
      <c r="R48" s="26"/>
      <c r="S48" s="26"/>
      <c r="T48" s="58"/>
    </row>
    <row r="49" spans="3:20" x14ac:dyDescent="0.35">
      <c r="C49" s="92"/>
      <c r="D49" s="26"/>
      <c r="E49" s="26"/>
      <c r="F49" s="26"/>
      <c r="G49" s="26"/>
      <c r="H49" s="26"/>
      <c r="I49" s="26"/>
      <c r="J49" s="26"/>
      <c r="K49" s="26"/>
      <c r="L49" s="26"/>
      <c r="M49" s="26"/>
      <c r="N49" s="26"/>
      <c r="O49" s="26"/>
      <c r="P49" s="26"/>
      <c r="Q49" s="26"/>
      <c r="R49" s="26"/>
      <c r="S49" s="26"/>
      <c r="T49" s="58"/>
    </row>
    <row r="50" spans="3:20" x14ac:dyDescent="0.35">
      <c r="C50" s="92"/>
      <c r="D50" s="26"/>
      <c r="E50" s="26"/>
      <c r="F50" s="26"/>
      <c r="G50" s="26"/>
      <c r="H50" s="26"/>
      <c r="I50" s="26"/>
      <c r="J50" s="26"/>
      <c r="K50" s="26"/>
      <c r="L50" s="26"/>
      <c r="M50" s="26"/>
      <c r="N50" s="26"/>
      <c r="O50" s="26"/>
      <c r="P50" s="26"/>
      <c r="Q50" s="26"/>
      <c r="R50" s="26"/>
      <c r="S50" s="26"/>
      <c r="T50" s="58"/>
    </row>
    <row r="51" spans="3:20" x14ac:dyDescent="0.35">
      <c r="C51" s="92"/>
      <c r="D51" s="26"/>
      <c r="E51" s="26"/>
      <c r="F51" s="26"/>
      <c r="G51" s="26"/>
      <c r="H51" s="26"/>
      <c r="I51" s="26"/>
      <c r="J51" s="26"/>
      <c r="K51" s="26"/>
      <c r="L51" s="26"/>
      <c r="M51" s="26"/>
      <c r="N51" s="26"/>
      <c r="O51" s="26"/>
      <c r="P51" s="26"/>
      <c r="Q51" s="26"/>
      <c r="R51" s="26"/>
      <c r="S51" s="26"/>
      <c r="T51" s="58"/>
    </row>
    <row r="52" spans="3:20" x14ac:dyDescent="0.35">
      <c r="C52" s="92"/>
      <c r="D52" s="26"/>
      <c r="E52" s="26"/>
      <c r="F52" s="26"/>
      <c r="G52" s="26"/>
      <c r="H52" s="26"/>
      <c r="I52" s="26"/>
      <c r="J52" s="26"/>
      <c r="K52" s="26"/>
      <c r="L52" s="26"/>
      <c r="M52" s="26"/>
      <c r="N52" s="26"/>
      <c r="O52" s="26"/>
      <c r="P52" s="26"/>
      <c r="Q52" s="26"/>
      <c r="R52" s="26"/>
      <c r="S52" s="26"/>
      <c r="T52" s="58"/>
    </row>
    <row r="53" spans="3:20" x14ac:dyDescent="0.35">
      <c r="C53" s="92"/>
      <c r="D53" s="26"/>
      <c r="E53" s="26"/>
      <c r="F53" s="26"/>
      <c r="G53" s="26"/>
      <c r="H53" s="26"/>
      <c r="I53" s="26"/>
      <c r="J53" s="26"/>
      <c r="K53" s="26"/>
      <c r="L53" s="26"/>
      <c r="M53" s="26"/>
      <c r="N53" s="26"/>
      <c r="O53" s="26"/>
      <c r="P53" s="26"/>
      <c r="Q53" s="26"/>
      <c r="R53" s="26"/>
      <c r="S53" s="26"/>
      <c r="T53" s="58"/>
    </row>
    <row r="54" spans="3:20" x14ac:dyDescent="0.35">
      <c r="C54" s="92"/>
      <c r="D54" s="26"/>
      <c r="E54" s="26"/>
      <c r="F54" s="26"/>
      <c r="G54" s="26"/>
      <c r="H54" s="26"/>
      <c r="I54" s="26"/>
      <c r="J54" s="26"/>
      <c r="K54" s="26"/>
      <c r="L54" s="26"/>
      <c r="M54" s="26"/>
      <c r="N54" s="26"/>
      <c r="O54" s="26"/>
      <c r="P54" s="26"/>
      <c r="Q54" s="26"/>
      <c r="R54" s="26"/>
      <c r="S54" s="26"/>
      <c r="T54" s="58"/>
    </row>
    <row r="55" spans="3:20" x14ac:dyDescent="0.35">
      <c r="C55" s="92"/>
      <c r="D55" s="26"/>
      <c r="E55" s="26"/>
      <c r="F55" s="26"/>
      <c r="G55" s="26"/>
      <c r="H55" s="26"/>
      <c r="I55" s="26"/>
      <c r="J55" s="26"/>
      <c r="K55" s="26"/>
      <c r="L55" s="26"/>
      <c r="M55" s="26"/>
      <c r="N55" s="26"/>
      <c r="O55" s="26"/>
      <c r="P55" s="26"/>
      <c r="Q55" s="26"/>
      <c r="R55" s="26"/>
      <c r="S55" s="26"/>
      <c r="T55" s="58"/>
    </row>
    <row r="56" spans="3:20" x14ac:dyDescent="0.35">
      <c r="C56" s="92"/>
      <c r="D56" s="26"/>
      <c r="E56" s="26"/>
      <c r="F56" s="26"/>
      <c r="G56" s="26"/>
      <c r="H56" s="26"/>
      <c r="I56" s="26"/>
      <c r="J56" s="26"/>
      <c r="K56" s="26"/>
      <c r="L56" s="26"/>
      <c r="M56" s="26"/>
      <c r="N56" s="26"/>
      <c r="O56" s="26"/>
      <c r="P56" s="26"/>
      <c r="Q56" s="26"/>
      <c r="R56" s="26"/>
      <c r="S56" s="26"/>
      <c r="T56" s="58"/>
    </row>
    <row r="57" spans="3:20" x14ac:dyDescent="0.35">
      <c r="C57" s="92"/>
      <c r="D57" s="26"/>
      <c r="E57" s="26"/>
      <c r="F57" s="26"/>
      <c r="G57" s="26"/>
      <c r="H57" s="26"/>
      <c r="I57" s="26"/>
      <c r="J57" s="26"/>
      <c r="K57" s="26"/>
      <c r="L57" s="26"/>
      <c r="M57" s="26"/>
      <c r="N57" s="26"/>
      <c r="O57" s="26"/>
      <c r="P57" s="26"/>
      <c r="Q57" s="26"/>
      <c r="R57" s="26"/>
      <c r="S57" s="26"/>
      <c r="T57" s="58"/>
    </row>
    <row r="58" spans="3:20" x14ac:dyDescent="0.35">
      <c r="C58" s="92"/>
      <c r="D58" s="26"/>
      <c r="E58" s="26"/>
      <c r="F58" s="26"/>
      <c r="G58" s="26"/>
      <c r="H58" s="26"/>
      <c r="I58" s="26"/>
      <c r="J58" s="26"/>
      <c r="K58" s="26"/>
      <c r="L58" s="26"/>
      <c r="M58" s="26"/>
      <c r="N58" s="26"/>
      <c r="O58" s="26"/>
      <c r="P58" s="26"/>
      <c r="Q58" s="26"/>
      <c r="R58" s="26"/>
      <c r="S58" s="26"/>
      <c r="T58" s="58"/>
    </row>
    <row r="59" spans="3:20" x14ac:dyDescent="0.35">
      <c r="C59" s="92"/>
      <c r="D59" s="26"/>
      <c r="E59" s="26"/>
      <c r="F59" s="26"/>
      <c r="G59" s="26"/>
      <c r="H59" s="26"/>
      <c r="I59" s="26"/>
      <c r="J59" s="26"/>
      <c r="K59" s="26"/>
      <c r="L59" s="26"/>
      <c r="M59" s="26"/>
      <c r="N59" s="26"/>
      <c r="O59" s="26"/>
      <c r="P59" s="26"/>
      <c r="Q59" s="26"/>
      <c r="R59" s="26"/>
      <c r="S59" s="26"/>
      <c r="T59" s="58"/>
    </row>
    <row r="60" spans="3:20" x14ac:dyDescent="0.35">
      <c r="C60" s="92"/>
      <c r="D60" s="26"/>
      <c r="E60" s="26"/>
      <c r="F60" s="26"/>
      <c r="G60" s="26"/>
      <c r="H60" s="26"/>
      <c r="I60" s="26"/>
      <c r="J60" s="26"/>
      <c r="K60" s="26"/>
      <c r="L60" s="26"/>
      <c r="M60" s="26"/>
      <c r="N60" s="26"/>
      <c r="O60" s="26"/>
      <c r="P60" s="26"/>
      <c r="Q60" s="26"/>
      <c r="R60" s="26"/>
      <c r="S60" s="26"/>
      <c r="T60" s="58"/>
    </row>
    <row r="61" spans="3:20" x14ac:dyDescent="0.35">
      <c r="C61" s="92"/>
      <c r="D61" s="26"/>
      <c r="E61" s="26"/>
      <c r="F61" s="26"/>
      <c r="G61" s="26"/>
      <c r="H61" s="26"/>
      <c r="I61" s="26"/>
      <c r="J61" s="26"/>
      <c r="K61" s="26"/>
      <c r="L61" s="26"/>
      <c r="M61" s="26"/>
      <c r="N61" s="26"/>
      <c r="O61" s="26"/>
      <c r="P61" s="26"/>
      <c r="Q61" s="26"/>
      <c r="R61" s="26"/>
      <c r="S61" s="26"/>
      <c r="T61" s="58"/>
    </row>
    <row r="62" spans="3:20" x14ac:dyDescent="0.35">
      <c r="C62" s="92"/>
      <c r="D62" s="26"/>
      <c r="E62" s="26"/>
      <c r="F62" s="26"/>
      <c r="G62" s="26"/>
      <c r="H62" s="26"/>
      <c r="I62" s="26"/>
      <c r="J62" s="26"/>
      <c r="K62" s="26"/>
      <c r="L62" s="26"/>
      <c r="M62" s="26"/>
      <c r="N62" s="26"/>
      <c r="O62" s="26"/>
      <c r="P62" s="26"/>
      <c r="Q62" s="26"/>
      <c r="R62" s="26"/>
      <c r="S62" s="26"/>
      <c r="T62" s="58"/>
    </row>
    <row r="63" spans="3:20" x14ac:dyDescent="0.35">
      <c r="C63" s="92"/>
      <c r="D63" s="26"/>
      <c r="E63" s="26"/>
      <c r="F63" s="26"/>
      <c r="G63" s="26"/>
      <c r="H63" s="26"/>
      <c r="I63" s="26"/>
      <c r="J63" s="26"/>
      <c r="K63" s="26"/>
      <c r="L63" s="26"/>
      <c r="M63" s="26"/>
      <c r="N63" s="26"/>
      <c r="O63" s="26"/>
      <c r="P63" s="26"/>
      <c r="Q63" s="26"/>
      <c r="R63" s="26"/>
      <c r="S63" s="26"/>
      <c r="T63" s="58"/>
    </row>
    <row r="64" spans="3:20" x14ac:dyDescent="0.35">
      <c r="C64" s="92"/>
      <c r="D64" s="26"/>
      <c r="E64" s="26"/>
      <c r="F64" s="26"/>
      <c r="G64" s="26"/>
      <c r="H64" s="26"/>
      <c r="I64" s="26"/>
      <c r="J64" s="26"/>
      <c r="K64" s="26"/>
      <c r="L64" s="26"/>
      <c r="M64" s="26"/>
      <c r="N64" s="26"/>
      <c r="O64" s="26"/>
      <c r="P64" s="26"/>
      <c r="Q64" s="26"/>
      <c r="R64" s="26"/>
      <c r="S64" s="26"/>
      <c r="T64" s="58"/>
    </row>
    <row r="65" spans="3:20" x14ac:dyDescent="0.35">
      <c r="C65" s="92"/>
      <c r="D65" s="26"/>
      <c r="E65" s="26"/>
      <c r="F65" s="26"/>
      <c r="G65" s="26"/>
      <c r="H65" s="26"/>
      <c r="I65" s="26"/>
      <c r="J65" s="26"/>
      <c r="K65" s="26"/>
      <c r="L65" s="26"/>
      <c r="M65" s="26"/>
      <c r="N65" s="26"/>
      <c r="O65" s="26"/>
      <c r="P65" s="26"/>
      <c r="Q65" s="26"/>
      <c r="R65" s="26"/>
      <c r="S65" s="26"/>
      <c r="T65" s="58"/>
    </row>
    <row r="66" spans="3:20" x14ac:dyDescent="0.35">
      <c r="C66" s="92"/>
      <c r="D66" s="26"/>
      <c r="E66" s="26"/>
      <c r="F66" s="26"/>
      <c r="G66" s="26"/>
      <c r="H66" s="26"/>
      <c r="I66" s="26"/>
      <c r="J66" s="26"/>
      <c r="K66" s="26"/>
      <c r="L66" s="26"/>
      <c r="M66" s="26"/>
      <c r="N66" s="26"/>
      <c r="O66" s="26"/>
      <c r="P66" s="26"/>
      <c r="Q66" s="26"/>
      <c r="R66" s="26"/>
      <c r="S66" s="26"/>
      <c r="T66" s="58"/>
    </row>
    <row r="67" spans="3:20" x14ac:dyDescent="0.35">
      <c r="C67" s="92"/>
      <c r="D67" s="26"/>
      <c r="E67" s="26"/>
      <c r="F67" s="26"/>
      <c r="G67" s="26"/>
      <c r="H67" s="26"/>
      <c r="I67" s="26"/>
      <c r="J67" s="26"/>
      <c r="K67" s="26"/>
      <c r="L67" s="26"/>
      <c r="M67" s="26"/>
      <c r="N67" s="26"/>
      <c r="O67" s="26"/>
      <c r="P67" s="26"/>
      <c r="Q67" s="26"/>
      <c r="R67" s="26"/>
      <c r="S67" s="26"/>
      <c r="T67" s="58"/>
    </row>
    <row r="68" spans="3:20" x14ac:dyDescent="0.35">
      <c r="C68" s="92"/>
      <c r="D68" s="26"/>
      <c r="E68" s="26"/>
      <c r="F68" s="26"/>
      <c r="G68" s="26"/>
      <c r="H68" s="26"/>
      <c r="I68" s="26"/>
      <c r="J68" s="26"/>
      <c r="K68" s="26"/>
      <c r="L68" s="26"/>
      <c r="M68" s="26"/>
      <c r="N68" s="26"/>
      <c r="O68" s="26"/>
      <c r="P68" s="26"/>
      <c r="Q68" s="26"/>
      <c r="R68" s="26"/>
      <c r="S68" s="26"/>
      <c r="T68" s="58"/>
    </row>
    <row r="69" spans="3:20" x14ac:dyDescent="0.35">
      <c r="C69" s="92"/>
      <c r="D69" s="26"/>
      <c r="E69" s="26"/>
      <c r="F69" s="26"/>
      <c r="G69" s="26"/>
      <c r="H69" s="26"/>
      <c r="I69" s="26"/>
      <c r="J69" s="26"/>
      <c r="K69" s="26"/>
      <c r="L69" s="26"/>
      <c r="M69" s="26"/>
      <c r="N69" s="26"/>
      <c r="O69" s="26"/>
      <c r="P69" s="26"/>
      <c r="Q69" s="26"/>
      <c r="R69" s="26"/>
      <c r="S69" s="26"/>
      <c r="T69" s="58"/>
    </row>
    <row r="70" spans="3:20" ht="15" thickBot="1" x14ac:dyDescent="0.4">
      <c r="C70" s="112"/>
      <c r="D70" s="47"/>
      <c r="E70" s="47"/>
      <c r="F70" s="47"/>
      <c r="G70" s="47"/>
      <c r="H70" s="47"/>
      <c r="I70" s="47"/>
      <c r="J70" s="47"/>
      <c r="K70" s="47"/>
      <c r="L70" s="47"/>
      <c r="M70" s="47"/>
      <c r="N70" s="47"/>
      <c r="O70" s="47"/>
      <c r="P70" s="47"/>
      <c r="Q70" s="47"/>
      <c r="R70" s="47"/>
      <c r="S70" s="47"/>
      <c r="T70" s="60"/>
    </row>
  </sheetData>
  <mergeCells count="10">
    <mergeCell ref="C10:F13"/>
    <mergeCell ref="H10:K13"/>
    <mergeCell ref="M10:P13"/>
    <mergeCell ref="R10:T13"/>
    <mergeCell ref="C3:T5"/>
    <mergeCell ref="C6:T6"/>
    <mergeCell ref="C8:F8"/>
    <mergeCell ref="H8:K8"/>
    <mergeCell ref="M8:P8"/>
    <mergeCell ref="R8:T8"/>
  </mergeCells>
  <pageMargins left="0.75" right="0.75" top="1" bottom="1" header="0.5" footer="0.5"/>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7D818-A5BB-47F9-A5F6-46E84A3CEB2B}">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Analysis</vt:lpstr>
      <vt:lpstr>Visualizations</vt:lpstr>
      <vt:lpstr>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subhash bishnoi</cp:lastModifiedBy>
  <dcterms:created xsi:type="dcterms:W3CDTF">2026-05-15T17:19:26Z</dcterms:created>
  <dcterms:modified xsi:type="dcterms:W3CDTF">2026-05-16T05:44:12Z</dcterms:modified>
</cp:coreProperties>
</file>