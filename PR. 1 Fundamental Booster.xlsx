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excel projects\First Project\"/>
    </mc:Choice>
  </mc:AlternateContent>
  <xr:revisionPtr revIDLastSave="0" documentId="13_ncr:1_{764FFCCE-EF39-4EA7-BD85-05F40E67D4BE}" xr6:coauthVersionLast="47" xr6:coauthVersionMax="47" xr10:uidLastSave="{00000000-0000-0000-0000-000000000000}"/>
  <bookViews>
    <workbookView xWindow="-110" yWindow="-110" windowWidth="19420" windowHeight="10300" xr2:uid="{00000000-000D-0000-FFFF-FFFF00000000}"/>
  </bookViews>
  <sheets>
    <sheet name="Project Instructions" sheetId="1" r:id="rId1"/>
    <sheet name="Students Grade" sheetId="2" r:id="rId2"/>
    <sheet name="Sales 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3" l="1"/>
  <c r="L7" i="3"/>
  <c r="L6" i="3"/>
  <c r="L5" i="3"/>
  <c r="O20" i="3"/>
  <c r="N20" i="3"/>
  <c r="O16" i="3"/>
  <c r="O12" i="3"/>
  <c r="O11" i="3"/>
  <c r="O10" i="3"/>
  <c r="O9" i="3"/>
  <c r="O8" i="3"/>
  <c r="O7" i="3"/>
  <c r="O6" i="3"/>
  <c r="O5" i="3"/>
  <c r="I3" i="3"/>
  <c r="I4" i="3"/>
  <c r="I5" i="3"/>
  <c r="I6" i="3"/>
  <c r="I7" i="3"/>
  <c r="I8" i="3"/>
  <c r="I9" i="3"/>
  <c r="I10" i="3"/>
  <c r="I11" i="3"/>
  <c r="I12" i="3"/>
  <c r="I13" i="3"/>
  <c r="I14" i="3"/>
  <c r="I15" i="3"/>
  <c r="I16" i="3"/>
  <c r="I17" i="3"/>
  <c r="I18" i="3"/>
  <c r="I19" i="3"/>
  <c r="I20" i="3"/>
  <c r="I21" i="3"/>
  <c r="I2" i="3"/>
  <c r="H3" i="3"/>
  <c r="H4" i="3"/>
  <c r="H5" i="3"/>
  <c r="H6" i="3"/>
  <c r="H7" i="3"/>
  <c r="H8" i="3"/>
  <c r="H9" i="3"/>
  <c r="H10" i="3"/>
  <c r="H11" i="3"/>
  <c r="H12" i="3"/>
  <c r="H13" i="3"/>
  <c r="H14" i="3"/>
  <c r="H15" i="3"/>
  <c r="H16" i="3"/>
  <c r="H17" i="3"/>
  <c r="H18" i="3"/>
  <c r="H19" i="3"/>
  <c r="H20" i="3"/>
  <c r="H21" i="3"/>
  <c r="H2" i="3"/>
  <c r="G3" i="3"/>
  <c r="G4" i="3"/>
  <c r="G5" i="3"/>
  <c r="G6" i="3"/>
  <c r="G7" i="3"/>
  <c r="G8" i="3"/>
  <c r="G9" i="3"/>
  <c r="G10" i="3"/>
  <c r="G11" i="3"/>
  <c r="G12" i="3"/>
  <c r="G13" i="3"/>
  <c r="G14" i="3"/>
  <c r="G15" i="3"/>
  <c r="G16" i="3"/>
  <c r="G17" i="3"/>
  <c r="G18" i="3"/>
  <c r="G19" i="3"/>
  <c r="G20" i="3"/>
  <c r="G21" i="3"/>
  <c r="G2" i="3"/>
  <c r="R4" i="2" a="1"/>
  <c r="R4" i="2" s="1"/>
  <c r="L3" i="2"/>
  <c r="L4" i="2"/>
  <c r="L5" i="2"/>
  <c r="L6" i="2"/>
  <c r="L7" i="2"/>
  <c r="L8" i="2"/>
  <c r="L9" i="2"/>
  <c r="L10" i="2"/>
  <c r="L11" i="2"/>
  <c r="L12" i="2"/>
  <c r="L13" i="2"/>
  <c r="L14" i="2"/>
  <c r="L15" i="2"/>
  <c r="L16" i="2"/>
  <c r="L17" i="2"/>
  <c r="L18" i="2"/>
  <c r="L19" i="2"/>
  <c r="L20" i="2"/>
  <c r="L21" i="2"/>
  <c r="L2" i="2"/>
  <c r="M3" i="2"/>
  <c r="M4" i="2"/>
  <c r="M5" i="2"/>
  <c r="M6" i="2"/>
  <c r="M7" i="2"/>
  <c r="M8" i="2"/>
  <c r="M9" i="2"/>
  <c r="M10" i="2"/>
  <c r="M11" i="2"/>
  <c r="M12" i="2"/>
  <c r="M13" i="2"/>
  <c r="M14" i="2"/>
  <c r="M15" i="2"/>
  <c r="M16" i="2"/>
  <c r="M17" i="2"/>
  <c r="M18" i="2"/>
  <c r="M19" i="2"/>
  <c r="M20" i="2"/>
  <c r="M21" i="2"/>
  <c r="M2" i="2"/>
  <c r="P18" i="2"/>
  <c r="P16" i="2"/>
  <c r="P15" i="2"/>
  <c r="P14" i="2"/>
  <c r="P13" i="2"/>
  <c r="P8" i="2"/>
  <c r="K3" i="2"/>
  <c r="K4" i="2"/>
  <c r="K5" i="2"/>
  <c r="K6" i="2"/>
  <c r="K7" i="2"/>
  <c r="K8" i="2"/>
  <c r="K9" i="2"/>
  <c r="K10" i="2"/>
  <c r="K11" i="2"/>
  <c r="K12" i="2"/>
  <c r="K13" i="2"/>
  <c r="K14" i="2"/>
  <c r="K15" i="2"/>
  <c r="K16" i="2"/>
  <c r="K17" i="2"/>
  <c r="K18" i="2"/>
  <c r="K19" i="2"/>
  <c r="K20" i="2"/>
  <c r="K21" i="2"/>
  <c r="K2" i="2"/>
  <c r="J3" i="2"/>
  <c r="J4" i="2"/>
  <c r="J5" i="2"/>
  <c r="J6" i="2"/>
  <c r="J7" i="2"/>
  <c r="J8" i="2"/>
  <c r="J9" i="2"/>
  <c r="J10" i="2"/>
  <c r="J11" i="2"/>
  <c r="J12" i="2"/>
  <c r="J13" i="2"/>
  <c r="J14" i="2"/>
  <c r="J15" i="2"/>
  <c r="J16" i="2"/>
  <c r="J17" i="2"/>
  <c r="J18" i="2"/>
  <c r="J19" i="2"/>
  <c r="J20" i="2"/>
  <c r="J21" i="2"/>
  <c r="J2" i="2"/>
  <c r="P7" i="2"/>
  <c r="P6" i="2"/>
  <c r="P5" i="2"/>
  <c r="P4" i="2"/>
  <c r="G3" i="2"/>
  <c r="H3" i="2" s="1"/>
  <c r="G4" i="2"/>
  <c r="P9" i="2" s="1"/>
  <c r="G5" i="2"/>
  <c r="H5" i="2" s="1"/>
  <c r="G6" i="2"/>
  <c r="I6" i="2" s="1"/>
  <c r="G7" i="2"/>
  <c r="G8" i="2"/>
  <c r="G9" i="2"/>
  <c r="G10" i="2"/>
  <c r="G11" i="2"/>
  <c r="G12" i="2"/>
  <c r="I12" i="2" s="1"/>
  <c r="G13" i="2"/>
  <c r="I13" i="2" s="1"/>
  <c r="G14" i="2"/>
  <c r="I14" i="2" s="1"/>
  <c r="G15" i="2"/>
  <c r="G16" i="2"/>
  <c r="I16" i="2" s="1"/>
  <c r="G17" i="2"/>
  <c r="H17" i="2" s="1"/>
  <c r="G18" i="2"/>
  <c r="H18" i="2" s="1"/>
  <c r="G19" i="2"/>
  <c r="I19" i="2" s="1"/>
  <c r="G20" i="2"/>
  <c r="I20" i="2" s="1"/>
  <c r="G21" i="2"/>
  <c r="I21" i="2" s="1"/>
  <c r="I10" i="2"/>
  <c r="I11" i="2"/>
  <c r="H15" i="2"/>
  <c r="G2" i="2"/>
  <c r="I2" i="2" s="1"/>
  <c r="I7" i="2"/>
  <c r="I8" i="2"/>
  <c r="I9" i="2"/>
  <c r="I18" i="2"/>
  <c r="H6" i="2"/>
  <c r="H7" i="2"/>
  <c r="H8" i="2"/>
  <c r="H9" i="2"/>
  <c r="H10" i="2"/>
  <c r="H11" i="2"/>
  <c r="P22" i="2" a="1"/>
  <c r="P21" i="2" a="1"/>
  <c r="P22" i="2" l="1"/>
  <c r="P21" i="2"/>
  <c r="H14" i="2"/>
  <c r="H13" i="2"/>
  <c r="I4" i="2"/>
  <c r="H12" i="2"/>
  <c r="H21" i="2"/>
  <c r="H20" i="2"/>
  <c r="H19" i="2"/>
  <c r="I5" i="2"/>
  <c r="I3" i="2"/>
  <c r="H16" i="2"/>
  <c r="H4" i="2"/>
  <c r="I17" i="2"/>
  <c r="I15" i="2"/>
  <c r="H2" i="2"/>
  <c r="P1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<sst xmlns="http://schemas.openxmlformats.org/spreadsheetml/2006/main" count="187" uniqueCount="142">
  <si>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</si>
  <si>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</si>
  <si>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</si>
  <si>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</si>
  <si>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</si>
  <si>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</si>
  <si>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</si>
  <si>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</si>
  <si>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</si>
  <si>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</si>
  <si>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</si>
  <si>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</si>
  <si>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</si>
  <si>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</si>
  <si>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</si>
  <si>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</si>
  <si>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</si>
  <si>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</si>
  <si>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</si>
  <si>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</si>
  <si>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</si>
  <si>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</si>
  <si>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</si>
  <si>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</si>
  <si>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</si>
  <si>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</si>
  <si>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</si>
  <si>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</si>
  <si>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</si>
  <si>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</si>
  <si>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</si>
  <si>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</si>
  <si>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</si>
  <si>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</si>
  <si>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</si>
  <si>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</si>
  <si>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</si>
  <si>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</si>
  <si>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</si>
  <si>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</si>
  <si>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</si>
  <si>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</si>
  <si>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</si>
  <si>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</si>
  <si>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</si>
  <si>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</si>
  <si>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</si>
  <si>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</si>
  <si>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</si>
  <si>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</si>
  <si>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</si>
  <si>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</si>
  <si>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</si>
  <si>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</si>
  <si>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</si>
  <si>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</si>
  <si>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</si>
  <si>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</si>
  <si>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</si>
  <si>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</si>
  <si>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</si>
  <si>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</si>
  <si>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</si>
  <si>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</si>
  <si>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</si>
  <si>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</si>
  <si>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</si>
  <si>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</si>
  <si>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</si>
  <si>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</si>
  <si>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</si>
  <si>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</si>
  <si>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</si>
  <si>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</si>
  <si>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</si>
  <si>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</si>
  <si>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</si>
  <si>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</si>
  <si>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</si>
  <si>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</si>
  <si>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</si>
  <si>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</si>
  <si>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</si>
  <si>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</si>
  <si>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</si>
  <si>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</si>
  <si>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</si>
  <si>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</si>
  <si>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</si>
  <si>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</si>
  <si>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</si>
  <si>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</si>
  <si>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</si>
  <si>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</si>
  <si>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</si>
  <si>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</si>
  <si>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</si>
  <si>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</si>
  <si>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</si>
  <si>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</si>
  <si>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</si>
  <si>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</si>
  <si>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Grade</t>
  </si>
  <si>
    <t>Pass/Fail</t>
  </si>
  <si>
    <t>Percentage</t>
  </si>
  <si>
    <t>Score</t>
  </si>
  <si>
    <t>Description</t>
  </si>
  <si>
    <t>Count</t>
  </si>
  <si>
    <t>Math above 60</t>
  </si>
  <si>
    <t>Science above 60</t>
  </si>
  <si>
    <t>English above 60</t>
  </si>
  <si>
    <t>All subjects above 60</t>
  </si>
  <si>
    <t>Math &amp; Science Star</t>
  </si>
  <si>
    <t>Math or Science Star</t>
  </si>
  <si>
    <t>Students Math &gt; 50</t>
  </si>
  <si>
    <t>Avg Score above 60</t>
  </si>
  <si>
    <t>VLOOKUP</t>
  </si>
  <si>
    <t>Search Student ID</t>
  </si>
  <si>
    <t>Upper</t>
  </si>
  <si>
    <t>Lower</t>
  </si>
  <si>
    <t>A2</t>
  </si>
  <si>
    <t>Indirect Function</t>
  </si>
  <si>
    <t>B2</t>
  </si>
  <si>
    <t>Filter Function</t>
  </si>
  <si>
    <t>Top Performers (Percentage &gt; 80)</t>
  </si>
  <si>
    <t>Discount</t>
  </si>
  <si>
    <t>Discount Eligible</t>
  </si>
  <si>
    <t>Special Discount</t>
  </si>
  <si>
    <t>SUMIFS-Sum Sales by Region &amp; Product!</t>
  </si>
  <si>
    <t>Total Amount</t>
  </si>
  <si>
    <t>North Region</t>
  </si>
  <si>
    <t>South Region</t>
  </si>
  <si>
    <t>East Region</t>
  </si>
  <si>
    <t>West Region</t>
  </si>
  <si>
    <t>Keyboard Sales</t>
  </si>
  <si>
    <t>Laptop Sales</t>
  </si>
  <si>
    <t>North + Keyboard</t>
  </si>
  <si>
    <t>East + Monitor</t>
  </si>
  <si>
    <t>Price</t>
  </si>
  <si>
    <t>Match Function</t>
  </si>
  <si>
    <t>Search Salesperson</t>
  </si>
  <si>
    <t>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</si>
</sst>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15">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
      <sz val="10"/>
      <color theme="1"/>
      <name val="Arial Unicode MS"/>
    </font>
    <font>
      <b/>
      <sz val="10"/>
      <color theme="1"/>
      <name val="Arial Unicode MS"/>
    </font>
  </fonts>
  <fills count="9">
    <fill>
      <patternFill patternType="none"/>
    </fill>
    <fill>
      <patternFill patternType="gray125"/>
    </fill>
    <fill>
      <patternFill patternType="solid">
        <fgColor rgb="FFFFF2CC"/>
        <bgColor rgb="FFFFF2CC"/>
      </patternFill>
    </fill>
    <fill>
      <patternFill patternType="solid">
        <fgColor theme="9" tint="0.59999389629810485"/>
        <bgColor indexed="64"/>
      </patternFill>
    </fill>
    <fill>
      <patternFill patternType="solid">
        <fgColor theme="9" tint="0.59999389629810485"/>
        <bgColor rgb="FFFFF2CC"/>
      </patternFill>
    </fill>
    <fill>
      <patternFill patternType="solid">
        <fgColor theme="2" tint="-0.14999847407452621"/>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39">
    <xf numFmtId="0" fontId="0" fillId="0" borderId="0" xfId="0"/>
    <xf numFmtId="0" fontId="3" fillId="2" borderId="1" xfId="0" applyFont="1" applyFill="1" applyBorder="1" applyAlignment="1">
      <alignment horizontal="center" vertical="center"/>
    </xf>
    <xf numFmtId="0" fontId="4" fillId="0" borderId="0" xfId="0" applyFont="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6"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12" fillId="4" borderId="1" xfId="0" applyFont="1" applyFill="1" applyBorder="1" applyAlignment="1">
      <alignment horizontal="center" vertical="center"/>
    </xf>
    <xf numFmtId="0" fontId="11" fillId="3" borderId="3" xfId="0" applyFont="1" applyFill="1" applyBorder="1" applyAlignment="1">
      <alignment horizontal="center" vertical="center"/>
    </xf>
    <xf numFmtId="0" fontId="2" fillId="0" borderId="3" xfId="0" applyFont="1" applyBorder="1"/>
    <xf numFmtId="0" fontId="4" fillId="0" borderId="3" xfId="0" applyFont="1" applyBorder="1" applyAlignment="1">
      <alignment horizontal="center" vertical="center"/>
    </xf>
    <xf numFmtId="0" fontId="12" fillId="4" borderId="4" xfId="0" applyFont="1" applyFill="1" applyBorder="1" applyAlignment="1">
      <alignment horizontal="center" vertical="center"/>
    </xf>
    <xf numFmtId="164" fontId="5" fillId="0" borderId="4" xfId="0" applyNumberFormat="1" applyFont="1" applyBorder="1" applyAlignment="1">
      <alignment horizontal="center" vertical="center"/>
    </xf>
    <xf numFmtId="165" fontId="4" fillId="0" borderId="3" xfId="0" applyNumberFormat="1" applyFont="1" applyBorder="1" applyAlignment="1">
      <alignment horizontal="center" vertical="center"/>
    </xf>
    <xf numFmtId="0" fontId="0" fillId="0" borderId="3" xfId="0" applyBorder="1"/>
    <xf numFmtId="0" fontId="2" fillId="0" borderId="3" xfId="0" applyFont="1" applyBorder="1" applyAlignment="1">
      <alignment horizontal="center" vertical="center"/>
    </xf>
    <xf numFmtId="0" fontId="0" fillId="0" borderId="3" xfId="0" applyBorder="1" applyAlignment="1">
      <alignment horizontal="center"/>
    </xf>
    <xf numFmtId="0" fontId="2" fillId="0" borderId="3" xfId="0" applyFont="1" applyBorder="1" applyAlignment="1">
      <alignment horizontal="left" vertical="center"/>
    </xf>
    <xf numFmtId="0" fontId="2" fillId="0" borderId="3" xfId="0" applyFont="1" applyBorder="1" applyAlignment="1">
      <alignment horizontal="center"/>
    </xf>
    <xf numFmtId="0" fontId="11" fillId="5" borderId="3" xfId="0" applyFont="1" applyFill="1" applyBorder="1" applyAlignment="1">
      <alignment horizontal="center" vertical="center"/>
    </xf>
    <xf numFmtId="0" fontId="11" fillId="5" borderId="3" xfId="0" applyFont="1" applyFill="1" applyBorder="1" applyAlignment="1">
      <alignment horizontal="center"/>
    </xf>
    <xf numFmtId="0" fontId="8" fillId="0" borderId="2" xfId="0" applyFont="1" applyBorder="1" applyAlignment="1">
      <alignment vertical="center" wrapText="1"/>
    </xf>
    <xf numFmtId="0" fontId="5" fillId="0" borderId="0" xfId="0" applyFont="1" applyAlignment="1">
      <alignment vertical="center"/>
    </xf>
    <xf numFmtId="0" fontId="5" fillId="0" borderId="2" xfId="0" applyFont="1" applyBorder="1" applyAlignment="1">
      <alignment vertical="center"/>
    </xf>
    <xf numFmtId="0" fontId="11" fillId="6" borderId="3" xfId="0" applyFont="1" applyFill="1" applyBorder="1" applyAlignment="1">
      <alignment horizontal="center"/>
    </xf>
    <xf numFmtId="0" fontId="6"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11" fillId="6" borderId="3" xfId="0" applyFont="1" applyFill="1" applyBorder="1" applyAlignment="1">
      <alignment horizontal="center" vertical="center"/>
    </xf>
    <xf numFmtId="0" fontId="1" fillId="0" borderId="3" xfId="0" applyFont="1" applyBorder="1" applyAlignment="1">
      <alignment horizontal="center" vertical="center"/>
    </xf>
    <xf numFmtId="0" fontId="13" fillId="7" borderId="3" xfId="0" applyFont="1" applyFill="1" applyBorder="1" applyAlignment="1">
      <alignment horizontal="center"/>
    </xf>
    <xf numFmtId="0" fontId="1" fillId="0" borderId="3" xfId="0" applyFont="1" applyBorder="1" applyAlignment="1">
      <alignment horizontal="center"/>
    </xf>
    <xf numFmtId="0" fontId="13" fillId="0" borderId="3" xfId="0" applyFont="1" applyBorder="1" applyAlignment="1">
      <alignment horizontal="center"/>
    </xf>
    <xf numFmtId="0" fontId="1" fillId="7" borderId="3" xfId="0" applyFont="1" applyFill="1" applyBorder="1" applyAlignment="1">
      <alignment horizontal="center"/>
    </xf>
    <xf numFmtId="0" fontId="6" fillId="8" borderId="3" xfId="0" applyFont="1" applyFill="1" applyBorder="1" applyAlignment="1">
      <alignment horizontal="center" vertical="center"/>
    </xf>
    <xf numFmtId="0" fontId="11" fillId="0" borderId="3" xfId="0" applyFont="1" applyBorder="1" applyAlignment="1">
      <alignment horizontal="center"/>
    </xf>
    <xf numFmtId="0" fontId="14" fillId="0" borderId="3" xfId="0" applyFont="1" applyBorder="1" applyAlignment="1">
      <alignment horizontal="center"/>
    </xf>
    <xf numFmtId="14" fontId="0" fillId="0" borderId="3" xfId="0" applyNumberFormat="1" applyBorder="1" applyAlignment="1">
      <alignment horizont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topLeftCell="A4" workbookViewId="0">
      <selection activeCell="B49" sqref="B49"/>
    </sheetView>
  </sheetViews>
  <sheetFormatPr defaultColWidth="14.453125" defaultRowHeight="15" customHeight="1"/>
  <cols>
    <col min="1" max="1" width="69" bestFit="1"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s="24" customFormat="1">
      <c r="A2" s="22" t="s">
        <v>1</v>
      </c>
      <c r="B2" s="23"/>
      <c r="C2" s="23"/>
      <c r="D2" s="23"/>
      <c r="E2" s="23"/>
      <c r="F2" s="23"/>
      <c r="G2" s="23"/>
      <c r="H2" s="23"/>
      <c r="I2" s="23"/>
      <c r="J2" s="23"/>
      <c r="K2" s="23"/>
      <c r="L2" s="23"/>
      <c r="M2" s="23"/>
      <c r="N2" s="23"/>
      <c r="O2" s="23"/>
      <c r="P2" s="23"/>
      <c r="Q2" s="23"/>
      <c r="R2" s="23"/>
      <c r="S2" s="23"/>
      <c r="T2" s="23"/>
      <c r="U2" s="23"/>
      <c r="V2" s="23"/>
      <c r="W2" s="23"/>
      <c r="X2" s="23"/>
      <c r="Y2" s="23"/>
      <c r="Z2" s="23"/>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3" t="s">
        <v>3</v>
      </c>
      <c r="B6" s="2"/>
      <c r="C6" s="2"/>
      <c r="D6" s="2"/>
      <c r="E6" s="2"/>
      <c r="F6" s="2"/>
      <c r="G6" s="2"/>
      <c r="H6" s="2"/>
      <c r="I6" s="2"/>
      <c r="J6" s="2"/>
      <c r="K6" s="2"/>
      <c r="L6" s="2"/>
      <c r="M6" s="2"/>
      <c r="N6" s="2"/>
      <c r="O6" s="2"/>
      <c r="P6" s="2"/>
      <c r="Q6" s="2"/>
      <c r="R6" s="2"/>
      <c r="S6" s="2"/>
      <c r="T6" s="2"/>
      <c r="U6" s="2"/>
      <c r="V6" s="2"/>
      <c r="W6" s="2"/>
      <c r="X6" s="2"/>
      <c r="Y6" s="2"/>
      <c r="Z6" s="2"/>
    </row>
    <row r="7" spans="1:26">
      <c r="A7" s="4" t="s">
        <v>4</v>
      </c>
      <c r="B7" s="2"/>
      <c r="C7" s="2"/>
      <c r="D7" s="2"/>
      <c r="E7" s="2"/>
      <c r="F7" s="2"/>
      <c r="G7" s="2"/>
      <c r="H7" s="2"/>
      <c r="I7" s="2"/>
      <c r="J7" s="2"/>
      <c r="K7" s="2"/>
      <c r="L7" s="2"/>
      <c r="M7" s="2"/>
      <c r="N7" s="2"/>
      <c r="O7" s="2"/>
      <c r="P7" s="2"/>
      <c r="Q7" s="2"/>
      <c r="R7" s="2"/>
      <c r="S7" s="2"/>
      <c r="T7" s="2"/>
      <c r="U7" s="2"/>
      <c r="V7" s="2"/>
      <c r="W7" s="2"/>
      <c r="X7" s="2"/>
      <c r="Y7" s="2"/>
      <c r="Z7" s="2"/>
    </row>
    <row r="8" spans="1:26">
      <c r="A8" s="4" t="s">
        <v>5</v>
      </c>
      <c r="B8" s="2"/>
      <c r="C8" s="2"/>
      <c r="D8" s="2"/>
      <c r="E8" s="2"/>
      <c r="F8" s="2"/>
      <c r="G8" s="2"/>
      <c r="H8" s="2"/>
      <c r="I8" s="2"/>
      <c r="J8" s="2"/>
      <c r="K8" s="2"/>
      <c r="L8" s="2"/>
      <c r="M8" s="2"/>
      <c r="N8" s="2"/>
      <c r="O8" s="2"/>
      <c r="P8" s="2"/>
      <c r="Q8" s="2"/>
      <c r="R8" s="2"/>
      <c r="S8" s="2"/>
      <c r="T8" s="2"/>
      <c r="U8" s="2"/>
      <c r="V8" s="2"/>
      <c r="W8" s="2"/>
      <c r="X8" s="2"/>
      <c r="Y8" s="2"/>
      <c r="Z8" s="2"/>
    </row>
    <row r="9" spans="1:26">
      <c r="A9" s="4"/>
      <c r="B9" s="2"/>
      <c r="C9" s="2"/>
      <c r="D9" s="2"/>
      <c r="E9" s="2"/>
      <c r="F9" s="2"/>
      <c r="G9" s="2"/>
      <c r="H9" s="2"/>
      <c r="I9" s="2"/>
      <c r="J9" s="2"/>
      <c r="K9" s="2"/>
      <c r="L9" s="2"/>
      <c r="M9" s="2"/>
      <c r="N9" s="2"/>
      <c r="O9" s="2"/>
      <c r="P9" s="2"/>
      <c r="Q9" s="2"/>
      <c r="R9" s="2"/>
      <c r="S9" s="2"/>
      <c r="T9" s="2"/>
      <c r="U9" s="2"/>
      <c r="V9" s="2"/>
      <c r="W9" s="2"/>
      <c r="X9" s="2"/>
      <c r="Y9" s="2"/>
      <c r="Z9" s="2"/>
    </row>
    <row r="10" spans="1:26">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4"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4"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4"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3"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mergeCells count="1">
    <mergeCell ref="A2:XF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H1" workbookViewId="0">
      <selection activeCell="O21" sqref="O21"/>
    </sheetView>
  </sheetViews>
  <sheetFormatPr defaultColWidth="14.453125" defaultRowHeight="15" customHeight="1"/>
  <cols>
    <col min="1" max="1" width="10.26953125" customWidth="1"/>
    <col min="2" max="2" width="10.453125" customWidth="1"/>
    <col min="3" max="3" width="5.81640625" customWidth="1"/>
    <col min="4" max="4" width="7.54296875" customWidth="1"/>
    <col min="5" max="5" width="7.26953125" customWidth="1"/>
    <col min="6" max="6" width="18.81640625" customWidth="1"/>
    <col min="7" max="7" width="10.1796875" bestFit="1" customWidth="1"/>
    <col min="8" max="9" width="8.7265625" customWidth="1"/>
    <col min="10" max="10" width="17.81640625" bestFit="1" customWidth="1"/>
    <col min="11" max="11" width="18.26953125" bestFit="1" customWidth="1"/>
    <col min="12" max="12" width="18.26953125" customWidth="1"/>
    <col min="13" max="13" width="11" bestFit="1" customWidth="1"/>
    <col min="14" max="15" width="18.26953125" bestFit="1" customWidth="1"/>
    <col min="16" max="16" width="8.7265625" bestFit="1" customWidth="1"/>
    <col min="17" max="17" width="8.7265625" customWidth="1"/>
    <col min="18" max="18" width="29" bestFit="1" customWidth="1"/>
    <col min="19" max="21" width="2.81640625" bestFit="1" customWidth="1"/>
    <col min="22" max="22" width="5.81640625" bestFit="1" customWidth="1"/>
    <col min="23" max="23" width="4.81640625" bestFit="1" customWidth="1"/>
    <col min="24" max="24" width="2" bestFit="1" customWidth="1"/>
    <col min="25" max="25" width="4.453125" bestFit="1" customWidth="1"/>
    <col min="26" max="27" width="8.7265625" customWidth="1"/>
  </cols>
  <sheetData>
    <row r="1" spans="1:27" ht="14.5">
      <c r="A1" s="8" t="s">
        <v>41</v>
      </c>
      <c r="B1" s="8" t="s">
        <v>42</v>
      </c>
      <c r="C1" s="8" t="s">
        <v>43</v>
      </c>
      <c r="D1" s="8" t="s">
        <v>44</v>
      </c>
      <c r="E1" s="8" t="s">
        <v>45</v>
      </c>
      <c r="F1" s="12" t="s">
        <v>46</v>
      </c>
      <c r="G1" s="9" t="s">
        <v>104</v>
      </c>
      <c r="H1" s="9" t="s">
        <v>102</v>
      </c>
      <c r="I1" s="9" t="s">
        <v>103</v>
      </c>
      <c r="J1" s="9" t="s">
        <v>112</v>
      </c>
      <c r="K1" s="9" t="s">
        <v>113</v>
      </c>
      <c r="L1" s="9" t="s">
        <v>119</v>
      </c>
      <c r="M1" s="9" t="s">
        <v>118</v>
      </c>
      <c r="N1" s="6"/>
      <c r="O1" s="6"/>
      <c r="P1" s="6"/>
      <c r="Q1" s="6"/>
      <c r="R1" s="6"/>
      <c r="S1" s="6"/>
      <c r="T1" s="6"/>
      <c r="U1" s="6"/>
      <c r="V1" s="6"/>
      <c r="W1" s="6"/>
      <c r="X1" s="6"/>
      <c r="Y1" s="6"/>
      <c r="Z1" s="6"/>
      <c r="AA1" s="6"/>
    </row>
    <row r="2" spans="1:27" ht="14.5">
      <c r="A2" s="7">
        <v>1001</v>
      </c>
      <c r="B2" s="7" t="s">
        <v>47</v>
      </c>
      <c r="C2" s="7">
        <v>61</v>
      </c>
      <c r="D2" s="7">
        <v>48</v>
      </c>
      <c r="E2" s="7">
        <v>76</v>
      </c>
      <c r="F2" s="13">
        <v>43101</v>
      </c>
      <c r="G2" s="14">
        <f>ROUND((C2+D2+E2)/300*100,1)</f>
        <v>61.7</v>
      </c>
      <c r="H2" s="11" t="str">
        <f>IF(G2&gt;90,"A",IF(G2&gt;80,"B",IF(G2&gt;70,"C","D")))</f>
        <v>D</v>
      </c>
      <c r="I2" s="11" t="str">
        <f>IF(G2&lt;60,"Fail","Pass")</f>
        <v>Pass</v>
      </c>
      <c r="J2" s="11" t="str">
        <f>IF(AND(C2&gt;80,D2&gt;80),"Greater than 80","Less than 80")</f>
        <v>Less than 80</v>
      </c>
      <c r="K2" s="11" t="str">
        <f>IF(OR(C2&gt;80,D2&gt;80,E2&gt;80)," Yes","No")</f>
        <v>No</v>
      </c>
      <c r="L2" s="11" t="str">
        <f>LOWER(B2)</f>
        <v>student 1</v>
      </c>
      <c r="M2" s="11" t="str">
        <f>UPPER(B2)</f>
        <v>STUDENT 1</v>
      </c>
      <c r="O2" s="20" t="s">
        <v>105</v>
      </c>
      <c r="P2" s="20"/>
      <c r="Q2" s="6"/>
      <c r="R2" s="20" t="s">
        <v>123</v>
      </c>
      <c r="S2" s="20"/>
      <c r="T2" s="20"/>
      <c r="U2" s="20"/>
      <c r="V2" s="20"/>
      <c r="W2" s="20"/>
      <c r="X2" s="20"/>
      <c r="Y2" s="20"/>
      <c r="Z2" s="6"/>
      <c r="AA2" s="6"/>
    </row>
    <row r="3" spans="1:27" ht="14.5">
      <c r="A3" s="7">
        <v>1002</v>
      </c>
      <c r="B3" s="7" t="s">
        <v>48</v>
      </c>
      <c r="C3" s="7">
        <v>78</v>
      </c>
      <c r="D3" s="7">
        <v>76</v>
      </c>
      <c r="E3" s="7">
        <v>70</v>
      </c>
      <c r="F3" s="13">
        <v>43281</v>
      </c>
      <c r="G3" s="14">
        <f t="shared" ref="G3:G21" si="0">ROUND((C3+D3+E3)/300*100,1)</f>
        <v>74.7</v>
      </c>
      <c r="H3" s="11" t="str">
        <f t="shared" ref="H3:H21" si="1">IF(G3&gt;90,"A",IF(G3&gt;80,"B",IF(G3&gt;70,"C","D")))</f>
        <v>C</v>
      </c>
      <c r="I3" s="11" t="str">
        <f t="shared" ref="I3:I21" si="2">IF(G3&lt;60,"Fail","Pass")</f>
        <v>Pass</v>
      </c>
      <c r="J3" s="11" t="str">
        <f t="shared" ref="J3:J21" si="3">IF(AND(C3&gt;80,D3&gt;80),"Greater than 80","Less than 80")</f>
        <v>Less than 80</v>
      </c>
      <c r="K3" s="11" t="str">
        <f t="shared" ref="K3:K21" si="4">IF(OR(C3&gt;80,D3&gt;80,E3&gt;80)," Yes","No")</f>
        <v>No</v>
      </c>
      <c r="L3" s="11" t="str">
        <f t="shared" ref="L3:L21" si="5">LOWER(B3)</f>
        <v>student 2</v>
      </c>
      <c r="M3" s="11" t="str">
        <f t="shared" ref="M3:M21" si="6">UPPER(B3)</f>
        <v>STUDENT 2</v>
      </c>
      <c r="O3" s="9" t="s">
        <v>106</v>
      </c>
      <c r="P3" s="9" t="s">
        <v>107</v>
      </c>
      <c r="Q3" s="6"/>
      <c r="R3" s="11" t="s">
        <v>124</v>
      </c>
      <c r="S3" s="11"/>
      <c r="T3" s="11"/>
      <c r="U3" s="11"/>
      <c r="V3" s="11"/>
      <c r="W3" s="11"/>
      <c r="X3" s="11"/>
      <c r="Y3" s="11"/>
      <c r="Z3" s="6"/>
      <c r="AA3" s="6"/>
    </row>
    <row r="4" spans="1:27" ht="14.5">
      <c r="A4" s="7">
        <v>1003</v>
      </c>
      <c r="B4" s="7" t="s">
        <v>49</v>
      </c>
      <c r="C4" s="7">
        <v>97</v>
      </c>
      <c r="D4" s="7">
        <v>60</v>
      </c>
      <c r="E4" s="7">
        <v>51</v>
      </c>
      <c r="F4" s="13">
        <v>43461</v>
      </c>
      <c r="G4" s="14">
        <f t="shared" si="0"/>
        <v>69.3</v>
      </c>
      <c r="H4" s="11" t="str">
        <f t="shared" si="1"/>
        <v>D</v>
      </c>
      <c r="I4" s="11" t="str">
        <f t="shared" si="2"/>
        <v>Pass</v>
      </c>
      <c r="J4" s="11" t="str">
        <f t="shared" si="3"/>
        <v>Less than 80</v>
      </c>
      <c r="K4" s="11" t="str">
        <f t="shared" si="4"/>
        <v xml:space="preserve"> Yes</v>
      </c>
      <c r="L4" s="11" t="str">
        <f t="shared" si="5"/>
        <v>student 3</v>
      </c>
      <c r="M4" s="11" t="str">
        <f t="shared" si="6"/>
        <v>STUDENT 3</v>
      </c>
      <c r="O4" s="10" t="s">
        <v>108</v>
      </c>
      <c r="P4" s="11">
        <f>COUNTIFS(C2:C21,"&gt;60")</f>
        <v>19</v>
      </c>
      <c r="R4" s="15" t="str" cm="1">
        <f t="array" ref="R4:Y5">_xlfn._xlws.FILTER(B2:I21,G2:G21&gt;80,"No data Found")</f>
        <v>Student 12</v>
      </c>
      <c r="S4" s="11">
        <v>85</v>
      </c>
      <c r="T4" s="11">
        <v>89</v>
      </c>
      <c r="U4" s="11">
        <v>79</v>
      </c>
      <c r="V4" s="11">
        <v>45081</v>
      </c>
      <c r="W4" s="11">
        <v>84.3</v>
      </c>
      <c r="X4" s="11" t="str">
        <v>B</v>
      </c>
      <c r="Y4" s="11" t="str">
        <v>Pass</v>
      </c>
      <c r="Z4" s="6"/>
      <c r="AA4" s="6"/>
    </row>
    <row r="5" spans="1:27" ht="14.5">
      <c r="A5" s="7">
        <v>1004</v>
      </c>
      <c r="B5" s="7" t="s">
        <v>50</v>
      </c>
      <c r="C5" s="7">
        <v>74</v>
      </c>
      <c r="D5" s="7">
        <v>55</v>
      </c>
      <c r="E5" s="7">
        <v>46</v>
      </c>
      <c r="F5" s="13">
        <v>43641</v>
      </c>
      <c r="G5" s="14">
        <f t="shared" si="0"/>
        <v>58.3</v>
      </c>
      <c r="H5" s="11" t="str">
        <f t="shared" si="1"/>
        <v>D</v>
      </c>
      <c r="I5" s="11" t="str">
        <f t="shared" si="2"/>
        <v>Fail</v>
      </c>
      <c r="J5" s="11" t="str">
        <f t="shared" si="3"/>
        <v>Less than 80</v>
      </c>
      <c r="K5" s="11" t="str">
        <f t="shared" si="4"/>
        <v>No</v>
      </c>
      <c r="L5" s="11" t="str">
        <f t="shared" si="5"/>
        <v>student 4</v>
      </c>
      <c r="M5" s="11" t="str">
        <f t="shared" si="6"/>
        <v>STUDENT 4</v>
      </c>
      <c r="O5" s="10" t="s">
        <v>109</v>
      </c>
      <c r="P5" s="11">
        <f>COUNTIFS(D2:D21,"&gt;60")</f>
        <v>11</v>
      </c>
      <c r="R5" s="15" t="str">
        <v>Student 13</v>
      </c>
      <c r="S5" s="11">
        <v>98</v>
      </c>
      <c r="T5" s="11">
        <v>90</v>
      </c>
      <c r="U5" s="11">
        <v>97</v>
      </c>
      <c r="V5" s="11">
        <v>45261</v>
      </c>
      <c r="W5" s="11">
        <v>95</v>
      </c>
      <c r="X5" s="11" t="str">
        <v>A</v>
      </c>
      <c r="Y5" s="11" t="str">
        <v>Pass</v>
      </c>
      <c r="Z5" s="6"/>
      <c r="AA5" s="6"/>
    </row>
    <row r="6" spans="1:27" ht="14.5">
      <c r="A6" s="7">
        <v>1005</v>
      </c>
      <c r="B6" s="7" t="s">
        <v>51</v>
      </c>
      <c r="C6" s="7">
        <v>68</v>
      </c>
      <c r="D6" s="7">
        <v>74</v>
      </c>
      <c r="E6" s="7">
        <v>84</v>
      </c>
      <c r="F6" s="13">
        <v>43821</v>
      </c>
      <c r="G6" s="14">
        <f t="shared" si="0"/>
        <v>75.3</v>
      </c>
      <c r="H6" s="11" t="str">
        <f t="shared" si="1"/>
        <v>C</v>
      </c>
      <c r="I6" s="11" t="str">
        <f t="shared" si="2"/>
        <v>Pass</v>
      </c>
      <c r="J6" s="11" t="str">
        <f t="shared" si="3"/>
        <v>Less than 80</v>
      </c>
      <c r="K6" s="11" t="str">
        <f t="shared" si="4"/>
        <v xml:space="preserve"> Yes</v>
      </c>
      <c r="L6" s="11" t="str">
        <f t="shared" si="5"/>
        <v>student 5</v>
      </c>
      <c r="M6" s="11" t="str">
        <f t="shared" si="6"/>
        <v>STUDENT 5</v>
      </c>
      <c r="O6" s="10" t="s">
        <v>110</v>
      </c>
      <c r="P6" s="11">
        <f>COUNTIFS(E2:E21,"&gt;60")</f>
        <v>10</v>
      </c>
      <c r="S6" s="6"/>
      <c r="T6" s="6"/>
      <c r="U6" s="6"/>
      <c r="V6" s="6"/>
      <c r="W6" s="6"/>
      <c r="X6" s="6"/>
      <c r="Y6" s="6"/>
      <c r="Z6" s="6"/>
      <c r="AA6" s="6"/>
    </row>
    <row r="7" spans="1:27" ht="14.5">
      <c r="A7" s="7">
        <v>1006</v>
      </c>
      <c r="B7" s="7" t="s">
        <v>52</v>
      </c>
      <c r="C7" s="7">
        <v>80</v>
      </c>
      <c r="D7" s="7">
        <v>70</v>
      </c>
      <c r="E7" s="7">
        <v>65</v>
      </c>
      <c r="F7" s="13">
        <v>44001</v>
      </c>
      <c r="G7" s="14">
        <f t="shared" si="0"/>
        <v>71.7</v>
      </c>
      <c r="H7" s="11" t="str">
        <f t="shared" si="1"/>
        <v>C</v>
      </c>
      <c r="I7" s="11" t="str">
        <f t="shared" si="2"/>
        <v>Pass</v>
      </c>
      <c r="J7" s="11" t="str">
        <f t="shared" si="3"/>
        <v>Less than 80</v>
      </c>
      <c r="K7" s="11" t="str">
        <f t="shared" si="4"/>
        <v>No</v>
      </c>
      <c r="L7" s="11" t="str">
        <f t="shared" si="5"/>
        <v>student 6</v>
      </c>
      <c r="M7" s="11" t="str">
        <f t="shared" si="6"/>
        <v>STUDENT 6</v>
      </c>
      <c r="O7" s="10" t="s">
        <v>111</v>
      </c>
      <c r="P7" s="11">
        <f>COUNTIFS(C2:C21,"&gt;60",D2:D21,"&gt;60",E2:E21,"&gt;60")</f>
        <v>6</v>
      </c>
      <c r="S7" s="6"/>
      <c r="T7" s="6"/>
      <c r="U7" s="6"/>
      <c r="V7" s="6"/>
      <c r="W7" s="6"/>
      <c r="X7" s="6"/>
      <c r="Y7" s="6"/>
      <c r="Z7" s="6"/>
      <c r="AA7" s="6"/>
    </row>
    <row r="8" spans="1:27" ht="14.5">
      <c r="A8" s="7">
        <v>1007</v>
      </c>
      <c r="B8" s="7" t="s">
        <v>53</v>
      </c>
      <c r="C8" s="7">
        <v>75</v>
      </c>
      <c r="D8" s="7">
        <v>47</v>
      </c>
      <c r="E8" s="7">
        <v>78</v>
      </c>
      <c r="F8" s="13">
        <v>44181</v>
      </c>
      <c r="G8" s="14">
        <f t="shared" si="0"/>
        <v>66.7</v>
      </c>
      <c r="H8" s="11" t="str">
        <f t="shared" si="1"/>
        <v>D</v>
      </c>
      <c r="I8" s="11" t="str">
        <f t="shared" si="2"/>
        <v>Pass</v>
      </c>
      <c r="J8" s="11" t="str">
        <f t="shared" si="3"/>
        <v>Less than 80</v>
      </c>
      <c r="K8" s="11" t="str">
        <f t="shared" si="4"/>
        <v>No</v>
      </c>
      <c r="L8" s="11" t="str">
        <f t="shared" si="5"/>
        <v>student 7</v>
      </c>
      <c r="M8" s="11" t="str">
        <f t="shared" si="6"/>
        <v>STUDENT 7</v>
      </c>
      <c r="O8" s="10" t="s">
        <v>114</v>
      </c>
      <c r="P8" s="11">
        <f>COUNTIFS(C2:C21,"&gt;50")</f>
        <v>19</v>
      </c>
      <c r="S8" s="6"/>
      <c r="T8" s="6"/>
      <c r="U8" s="6"/>
      <c r="V8" s="6"/>
      <c r="W8" s="6"/>
      <c r="X8" s="6"/>
      <c r="Y8" s="6"/>
      <c r="Z8" s="6"/>
      <c r="AA8" s="6"/>
    </row>
    <row r="9" spans="1:27" ht="14.5">
      <c r="A9" s="7">
        <v>1008</v>
      </c>
      <c r="B9" s="7" t="s">
        <v>54</v>
      </c>
      <c r="C9" s="7">
        <v>94</v>
      </c>
      <c r="D9" s="7">
        <v>67</v>
      </c>
      <c r="E9" s="7">
        <v>64</v>
      </c>
      <c r="F9" s="13">
        <v>44361</v>
      </c>
      <c r="G9" s="14">
        <f t="shared" si="0"/>
        <v>75</v>
      </c>
      <c r="H9" s="11" t="str">
        <f t="shared" si="1"/>
        <v>C</v>
      </c>
      <c r="I9" s="11" t="str">
        <f t="shared" si="2"/>
        <v>Pass</v>
      </c>
      <c r="J9" s="11" t="str">
        <f t="shared" si="3"/>
        <v>Less than 80</v>
      </c>
      <c r="K9" s="11" t="str">
        <f t="shared" si="4"/>
        <v xml:space="preserve"> Yes</v>
      </c>
      <c r="L9" s="11" t="str">
        <f t="shared" si="5"/>
        <v>student 8</v>
      </c>
      <c r="M9" s="11" t="str">
        <f t="shared" si="6"/>
        <v>STUDENT 8</v>
      </c>
      <c r="O9" s="18" t="s">
        <v>115</v>
      </c>
      <c r="P9" s="17">
        <f>AVERAGEIFS(G2:G21,G2:G21,"&gt;60")</f>
        <v>73.624999999999986</v>
      </c>
      <c r="S9" s="6"/>
      <c r="T9" s="6"/>
      <c r="U9" s="6"/>
      <c r="V9" s="6"/>
      <c r="W9" s="6"/>
      <c r="X9" s="6"/>
      <c r="Y9" s="6"/>
      <c r="Z9" s="6"/>
      <c r="AA9" s="6"/>
    </row>
    <row r="10" spans="1:27" ht="14.5">
      <c r="A10" s="7">
        <v>1009</v>
      </c>
      <c r="B10" s="7" t="s">
        <v>55</v>
      </c>
      <c r="C10" s="7">
        <v>41</v>
      </c>
      <c r="D10" s="7">
        <v>75</v>
      </c>
      <c r="E10" s="7">
        <v>56</v>
      </c>
      <c r="F10" s="13">
        <v>44541</v>
      </c>
      <c r="G10" s="14">
        <f t="shared" si="0"/>
        <v>57.3</v>
      </c>
      <c r="H10" s="11" t="str">
        <f t="shared" si="1"/>
        <v>D</v>
      </c>
      <c r="I10" s="11" t="str">
        <f t="shared" si="2"/>
        <v>Fail</v>
      </c>
      <c r="J10" s="11" t="str">
        <f t="shared" si="3"/>
        <v>Less than 80</v>
      </c>
      <c r="K10" s="11" t="str">
        <f t="shared" si="4"/>
        <v>No</v>
      </c>
      <c r="L10" s="11" t="str">
        <f t="shared" si="5"/>
        <v>student 9</v>
      </c>
      <c r="M10" s="11" t="str">
        <f t="shared" si="6"/>
        <v>STUDENT 9</v>
      </c>
      <c r="O10" s="6"/>
      <c r="S10" s="6"/>
      <c r="T10" s="6"/>
      <c r="U10" s="6"/>
      <c r="V10" s="6"/>
      <c r="W10" s="6"/>
      <c r="X10" s="6"/>
      <c r="Y10" s="6"/>
      <c r="Z10" s="6"/>
      <c r="AA10" s="6"/>
    </row>
    <row r="11" spans="1:27" ht="14.5">
      <c r="A11" s="7">
        <v>1010</v>
      </c>
      <c r="B11" s="7" t="s">
        <v>56</v>
      </c>
      <c r="C11" s="7">
        <v>98</v>
      </c>
      <c r="D11" s="7">
        <v>54</v>
      </c>
      <c r="E11" s="7">
        <v>58</v>
      </c>
      <c r="F11" s="13">
        <v>44721</v>
      </c>
      <c r="G11" s="14">
        <f t="shared" si="0"/>
        <v>70</v>
      </c>
      <c r="H11" s="11" t="str">
        <f t="shared" si="1"/>
        <v>D</v>
      </c>
      <c r="I11" s="11" t="str">
        <f t="shared" si="2"/>
        <v>Pass</v>
      </c>
      <c r="J11" s="11" t="str">
        <f t="shared" si="3"/>
        <v>Less than 80</v>
      </c>
      <c r="K11" s="11" t="str">
        <f t="shared" si="4"/>
        <v xml:space="preserve"> Yes</v>
      </c>
      <c r="L11" s="11" t="str">
        <f t="shared" si="5"/>
        <v>student 10</v>
      </c>
      <c r="M11" s="11" t="str">
        <f t="shared" si="6"/>
        <v>STUDENT 10</v>
      </c>
      <c r="O11" s="21" t="s">
        <v>116</v>
      </c>
      <c r="P11" s="21"/>
      <c r="S11" s="6"/>
      <c r="T11" s="6"/>
      <c r="U11" s="6"/>
      <c r="V11" s="6"/>
      <c r="W11" s="6"/>
      <c r="X11" s="6"/>
      <c r="Y11" s="6"/>
      <c r="Z11" s="6"/>
      <c r="AA11" s="6"/>
    </row>
    <row r="12" spans="1:27" ht="14.5">
      <c r="A12" s="7">
        <v>1011</v>
      </c>
      <c r="B12" s="7" t="s">
        <v>57</v>
      </c>
      <c r="C12" s="7">
        <v>73</v>
      </c>
      <c r="D12" s="7">
        <v>79</v>
      </c>
      <c r="E12" s="7">
        <v>53</v>
      </c>
      <c r="F12" s="13">
        <v>44901</v>
      </c>
      <c r="G12" s="14">
        <f t="shared" si="0"/>
        <v>68.3</v>
      </c>
      <c r="H12" s="11" t="str">
        <f t="shared" si="1"/>
        <v>D</v>
      </c>
      <c r="I12" s="11" t="str">
        <f t="shared" si="2"/>
        <v>Pass</v>
      </c>
      <c r="J12" s="11" t="str">
        <f t="shared" si="3"/>
        <v>Less than 80</v>
      </c>
      <c r="K12" s="11" t="str">
        <f t="shared" si="4"/>
        <v>No</v>
      </c>
      <c r="L12" s="11" t="str">
        <f t="shared" si="5"/>
        <v>student 11</v>
      </c>
      <c r="M12" s="11" t="str">
        <f t="shared" si="6"/>
        <v>STUDENT 11</v>
      </c>
      <c r="O12" s="10" t="s">
        <v>117</v>
      </c>
      <c r="P12" s="17">
        <v>1003</v>
      </c>
      <c r="S12" s="6"/>
      <c r="T12" s="6"/>
      <c r="U12" s="6"/>
      <c r="V12" s="6"/>
      <c r="W12" s="6"/>
      <c r="X12" s="6"/>
      <c r="Y12" s="6"/>
      <c r="Z12" s="6"/>
      <c r="AA12" s="6"/>
    </row>
    <row r="13" spans="1:27" ht="14.5">
      <c r="A13" s="7">
        <v>1012</v>
      </c>
      <c r="B13" s="7" t="s">
        <v>58</v>
      </c>
      <c r="C13" s="7">
        <v>85</v>
      </c>
      <c r="D13" s="7">
        <v>89</v>
      </c>
      <c r="E13" s="7">
        <v>79</v>
      </c>
      <c r="F13" s="13">
        <v>45081</v>
      </c>
      <c r="G13" s="14">
        <f t="shared" si="0"/>
        <v>84.3</v>
      </c>
      <c r="H13" s="11" t="str">
        <f t="shared" si="1"/>
        <v>B</v>
      </c>
      <c r="I13" s="11" t="str">
        <f t="shared" si="2"/>
        <v>Pass</v>
      </c>
      <c r="J13" s="11" t="str">
        <f t="shared" si="3"/>
        <v>Greater than 80</v>
      </c>
      <c r="K13" s="11" t="str">
        <f t="shared" si="4"/>
        <v xml:space="preserve"> Yes</v>
      </c>
      <c r="L13" s="11" t="str">
        <f t="shared" si="5"/>
        <v>student 12</v>
      </c>
      <c r="M13" s="11" t="str">
        <f t="shared" si="6"/>
        <v>STUDENT 12</v>
      </c>
      <c r="O13" s="10" t="s">
        <v>42</v>
      </c>
      <c r="P13" s="19" t="str">
        <f>VLOOKUP(P12,A2:I21,2,0)</f>
        <v>Student 3</v>
      </c>
      <c r="S13" s="6"/>
      <c r="T13" s="6"/>
      <c r="U13" s="6"/>
      <c r="V13" s="6"/>
      <c r="W13" s="6"/>
      <c r="X13" s="6"/>
      <c r="Y13" s="6"/>
      <c r="Z13" s="6"/>
      <c r="AA13" s="6"/>
    </row>
    <row r="14" spans="1:27" ht="14.5">
      <c r="A14" s="7">
        <v>1013</v>
      </c>
      <c r="B14" s="7" t="s">
        <v>59</v>
      </c>
      <c r="C14" s="7">
        <v>98</v>
      </c>
      <c r="D14" s="7">
        <v>90</v>
      </c>
      <c r="E14" s="7">
        <v>97</v>
      </c>
      <c r="F14" s="13">
        <v>45261</v>
      </c>
      <c r="G14" s="14">
        <f t="shared" si="0"/>
        <v>95</v>
      </c>
      <c r="H14" s="11" t="str">
        <f t="shared" si="1"/>
        <v>A</v>
      </c>
      <c r="I14" s="11" t="str">
        <f t="shared" si="2"/>
        <v>Pass</v>
      </c>
      <c r="J14" s="11" t="str">
        <f t="shared" si="3"/>
        <v>Greater than 80</v>
      </c>
      <c r="K14" s="11" t="str">
        <f t="shared" si="4"/>
        <v xml:space="preserve"> Yes</v>
      </c>
      <c r="L14" s="11" t="str">
        <f t="shared" si="5"/>
        <v>student 13</v>
      </c>
      <c r="M14" s="11" t="str">
        <f t="shared" si="6"/>
        <v>STUDENT 13</v>
      </c>
      <c r="O14" s="10" t="s">
        <v>43</v>
      </c>
      <c r="P14" s="17">
        <f>VLOOKUP(P12,A2:I21,3,0)</f>
        <v>97</v>
      </c>
      <c r="S14" s="6"/>
      <c r="T14" s="6"/>
      <c r="U14" s="6"/>
      <c r="V14" s="6"/>
      <c r="W14" s="6"/>
      <c r="X14" s="6"/>
      <c r="Y14" s="6"/>
      <c r="Z14" s="6"/>
      <c r="AA14" s="6"/>
    </row>
    <row r="15" spans="1:27" ht="14.5">
      <c r="A15" s="7">
        <v>1014</v>
      </c>
      <c r="B15" s="7" t="s">
        <v>60</v>
      </c>
      <c r="C15" s="7">
        <v>93</v>
      </c>
      <c r="D15" s="7">
        <v>40</v>
      </c>
      <c r="E15" s="7">
        <v>44</v>
      </c>
      <c r="F15" s="13">
        <v>45441</v>
      </c>
      <c r="G15" s="14">
        <f t="shared" si="0"/>
        <v>59</v>
      </c>
      <c r="H15" s="11" t="str">
        <f t="shared" si="1"/>
        <v>D</v>
      </c>
      <c r="I15" s="11" t="str">
        <f t="shared" si="2"/>
        <v>Fail</v>
      </c>
      <c r="J15" s="11" t="str">
        <f t="shared" si="3"/>
        <v>Less than 80</v>
      </c>
      <c r="K15" s="11" t="str">
        <f t="shared" si="4"/>
        <v xml:space="preserve"> Yes</v>
      </c>
      <c r="L15" s="11" t="str">
        <f t="shared" si="5"/>
        <v>student 14</v>
      </c>
      <c r="M15" s="11" t="str">
        <f t="shared" si="6"/>
        <v>STUDENT 14</v>
      </c>
      <c r="O15" s="10" t="s">
        <v>44</v>
      </c>
      <c r="P15" s="17">
        <f>VLOOKUP(P12,A2:I21,4,0)</f>
        <v>60</v>
      </c>
      <c r="S15" s="6"/>
      <c r="T15" s="6"/>
      <c r="U15" s="6"/>
      <c r="V15" s="6"/>
      <c r="W15" s="6"/>
      <c r="X15" s="6"/>
      <c r="Y15" s="6"/>
      <c r="Z15" s="6"/>
      <c r="AA15" s="6"/>
    </row>
    <row r="16" spans="1:27" ht="14.5">
      <c r="A16" s="7">
        <v>1015</v>
      </c>
      <c r="B16" s="7" t="s">
        <v>61</v>
      </c>
      <c r="C16" s="7">
        <v>70</v>
      </c>
      <c r="D16" s="7">
        <v>51</v>
      </c>
      <c r="E16" s="7">
        <v>75</v>
      </c>
      <c r="F16" s="13">
        <v>45621</v>
      </c>
      <c r="G16" s="14">
        <f t="shared" si="0"/>
        <v>65.3</v>
      </c>
      <c r="H16" s="11" t="str">
        <f t="shared" si="1"/>
        <v>D</v>
      </c>
      <c r="I16" s="11" t="str">
        <f t="shared" si="2"/>
        <v>Pass</v>
      </c>
      <c r="J16" s="11" t="str">
        <f t="shared" si="3"/>
        <v>Less than 80</v>
      </c>
      <c r="K16" s="11" t="str">
        <f t="shared" si="4"/>
        <v>No</v>
      </c>
      <c r="L16" s="11" t="str">
        <f t="shared" si="5"/>
        <v>student 15</v>
      </c>
      <c r="M16" s="11" t="str">
        <f t="shared" si="6"/>
        <v>STUDENT 15</v>
      </c>
      <c r="O16" s="10" t="s">
        <v>45</v>
      </c>
      <c r="P16" s="17">
        <f>VLOOKUP(P12,A2:I21,5,0)</f>
        <v>51</v>
      </c>
      <c r="S16" s="6"/>
      <c r="T16" s="6"/>
      <c r="U16" s="6"/>
      <c r="V16" s="6"/>
      <c r="W16" s="6"/>
      <c r="X16" s="6"/>
      <c r="Y16" s="6"/>
      <c r="Z16" s="6"/>
      <c r="AA16" s="6"/>
    </row>
    <row r="17" spans="1:27" ht="14.5">
      <c r="A17" s="7">
        <v>1016</v>
      </c>
      <c r="B17" s="7" t="s">
        <v>62</v>
      </c>
      <c r="C17" s="7">
        <v>98</v>
      </c>
      <c r="D17" s="7">
        <v>77</v>
      </c>
      <c r="E17" s="7">
        <v>60</v>
      </c>
      <c r="F17" s="13">
        <v>45801</v>
      </c>
      <c r="G17" s="14">
        <f t="shared" si="0"/>
        <v>78.3</v>
      </c>
      <c r="H17" s="11" t="str">
        <f t="shared" si="1"/>
        <v>C</v>
      </c>
      <c r="I17" s="11" t="str">
        <f t="shared" si="2"/>
        <v>Pass</v>
      </c>
      <c r="J17" s="11" t="str">
        <f t="shared" si="3"/>
        <v>Less than 80</v>
      </c>
      <c r="K17" s="11" t="str">
        <f t="shared" si="4"/>
        <v xml:space="preserve"> Yes</v>
      </c>
      <c r="L17" s="11" t="str">
        <f t="shared" si="5"/>
        <v>student 16</v>
      </c>
      <c r="M17" s="11" t="str">
        <f t="shared" si="6"/>
        <v>STUDENT 16</v>
      </c>
      <c r="O17" s="10" t="s">
        <v>102</v>
      </c>
      <c r="P17" s="17" t="str">
        <f>VLOOKUP(P12,A2:I21,8,0)</f>
        <v>D</v>
      </c>
      <c r="S17" s="6"/>
      <c r="T17" s="6"/>
      <c r="U17" s="6"/>
      <c r="V17" s="6"/>
      <c r="W17" s="6"/>
      <c r="X17" s="6"/>
      <c r="Y17" s="6"/>
      <c r="Z17" s="6"/>
      <c r="AA17" s="6"/>
    </row>
    <row r="18" spans="1:27" ht="14.5">
      <c r="A18" s="7">
        <v>1017</v>
      </c>
      <c r="B18" s="7" t="s">
        <v>63</v>
      </c>
      <c r="C18" s="7">
        <v>66</v>
      </c>
      <c r="D18" s="7">
        <v>59</v>
      </c>
      <c r="E18" s="7">
        <v>40</v>
      </c>
      <c r="F18" s="13">
        <v>45981</v>
      </c>
      <c r="G18" s="14">
        <f t="shared" si="0"/>
        <v>55</v>
      </c>
      <c r="H18" s="11" t="str">
        <f t="shared" si="1"/>
        <v>D</v>
      </c>
      <c r="I18" s="11" t="str">
        <f t="shared" si="2"/>
        <v>Fail</v>
      </c>
      <c r="J18" s="11" t="str">
        <f t="shared" si="3"/>
        <v>Less than 80</v>
      </c>
      <c r="K18" s="11" t="str">
        <f t="shared" si="4"/>
        <v>No</v>
      </c>
      <c r="L18" s="11" t="str">
        <f t="shared" si="5"/>
        <v>student 17</v>
      </c>
      <c r="M18" s="11" t="str">
        <f t="shared" si="6"/>
        <v>STUDENT 17</v>
      </c>
      <c r="O18" s="10" t="s">
        <v>103</v>
      </c>
      <c r="P18" s="17" t="str">
        <f>VLOOKUP(P12,A2:I21,9,0)</f>
        <v>Pass</v>
      </c>
      <c r="S18" s="6"/>
      <c r="T18" s="6"/>
      <c r="U18" s="6"/>
      <c r="V18" s="6"/>
      <c r="W18" s="6"/>
      <c r="X18" s="6"/>
      <c r="Y18" s="6"/>
      <c r="Z18" s="6"/>
      <c r="AA18" s="6"/>
    </row>
    <row r="19" spans="1:27" ht="14.5">
      <c r="A19" s="7">
        <v>1018</v>
      </c>
      <c r="B19" s="7" t="s">
        <v>64</v>
      </c>
      <c r="C19" s="7">
        <v>82</v>
      </c>
      <c r="D19" s="7">
        <v>48</v>
      </c>
      <c r="E19" s="7">
        <v>79</v>
      </c>
      <c r="F19" s="13">
        <v>46161</v>
      </c>
      <c r="G19" s="14">
        <f t="shared" si="0"/>
        <v>69.7</v>
      </c>
      <c r="H19" s="11" t="str">
        <f t="shared" si="1"/>
        <v>D</v>
      </c>
      <c r="I19" s="11" t="str">
        <f t="shared" si="2"/>
        <v>Pass</v>
      </c>
      <c r="J19" s="11" t="str">
        <f t="shared" si="3"/>
        <v>Less than 80</v>
      </c>
      <c r="K19" s="11" t="str">
        <f t="shared" si="4"/>
        <v xml:space="preserve"> Yes</v>
      </c>
      <c r="L19" s="11" t="str">
        <f t="shared" si="5"/>
        <v>student 18</v>
      </c>
      <c r="M19" s="11" t="str">
        <f t="shared" si="6"/>
        <v>STUDENT 18</v>
      </c>
      <c r="N19" s="6"/>
      <c r="O19" s="6"/>
      <c r="P19" s="6"/>
      <c r="S19" s="6"/>
      <c r="T19" s="6"/>
      <c r="U19" s="6"/>
      <c r="V19" s="6"/>
      <c r="W19" s="6"/>
      <c r="X19" s="6"/>
      <c r="Y19" s="6"/>
      <c r="Z19" s="6"/>
      <c r="AA19" s="6"/>
    </row>
    <row r="20" spans="1:27" ht="14.5">
      <c r="A20" s="7">
        <v>1019</v>
      </c>
      <c r="B20" s="7" t="s">
        <v>65</v>
      </c>
      <c r="C20" s="7">
        <v>90</v>
      </c>
      <c r="D20" s="7">
        <v>78</v>
      </c>
      <c r="E20" s="7">
        <v>60</v>
      </c>
      <c r="F20" s="13">
        <v>46341</v>
      </c>
      <c r="G20" s="14">
        <f t="shared" si="0"/>
        <v>76</v>
      </c>
      <c r="H20" s="11" t="str">
        <f t="shared" si="1"/>
        <v>C</v>
      </c>
      <c r="I20" s="11" t="str">
        <f t="shared" si="2"/>
        <v>Pass</v>
      </c>
      <c r="J20" s="11" t="str">
        <f t="shared" si="3"/>
        <v>Less than 80</v>
      </c>
      <c r="K20" s="11" t="str">
        <f t="shared" si="4"/>
        <v xml:space="preserve"> Yes</v>
      </c>
      <c r="L20" s="11" t="str">
        <f t="shared" si="5"/>
        <v>student 19</v>
      </c>
      <c r="M20" s="11" t="str">
        <f t="shared" si="6"/>
        <v>STUDENT 19</v>
      </c>
      <c r="N20" s="6"/>
      <c r="O20" s="20" t="s">
        <v>121</v>
      </c>
      <c r="P20" s="20"/>
      <c r="S20" s="6"/>
      <c r="T20" s="6"/>
      <c r="U20" s="6"/>
      <c r="V20" s="6"/>
      <c r="W20" s="6"/>
      <c r="X20" s="6"/>
      <c r="Y20" s="6"/>
      <c r="Z20" s="6"/>
      <c r="AA20" s="6"/>
    </row>
    <row r="21" spans="1:27" ht="15.75" customHeight="1">
      <c r="A21" s="7">
        <v>1020</v>
      </c>
      <c r="B21" s="7" t="s">
        <v>66</v>
      </c>
      <c r="C21" s="7">
        <v>83</v>
      </c>
      <c r="D21" s="7">
        <v>92</v>
      </c>
      <c r="E21" s="7">
        <v>55</v>
      </c>
      <c r="F21" s="13">
        <v>46521</v>
      </c>
      <c r="G21" s="14">
        <f t="shared" si="0"/>
        <v>76.7</v>
      </c>
      <c r="H21" s="11" t="str">
        <f t="shared" si="1"/>
        <v>C</v>
      </c>
      <c r="I21" s="11" t="str">
        <f t="shared" si="2"/>
        <v>Pass</v>
      </c>
      <c r="J21" s="11" t="str">
        <f t="shared" si="3"/>
        <v>Greater than 80</v>
      </c>
      <c r="K21" s="11" t="str">
        <f t="shared" si="4"/>
        <v xml:space="preserve"> Yes</v>
      </c>
      <c r="L21" s="11" t="str">
        <f t="shared" si="5"/>
        <v>student 20</v>
      </c>
      <c r="M21" s="11" t="str">
        <f t="shared" si="6"/>
        <v>STUDENT 20</v>
      </c>
      <c r="N21" s="6"/>
      <c r="O21" s="16" t="s">
        <v>120</v>
      </c>
      <c r="P21" s="11" cm="1">
        <f t="array" aca="1" ref="P21" ca="1">INDIRECT(O21)</f>
        <v>1001</v>
      </c>
      <c r="Q21" s="6"/>
      <c r="R21" s="6"/>
      <c r="S21" s="6"/>
      <c r="T21" s="6"/>
      <c r="U21" s="6"/>
      <c r="V21" s="6"/>
      <c r="W21" s="6"/>
      <c r="X21" s="6"/>
      <c r="Y21" s="6"/>
      <c r="Z21" s="6"/>
      <c r="AA21" s="6"/>
    </row>
    <row r="22" spans="1:27" ht="15.75" customHeight="1">
      <c r="A22" s="6"/>
      <c r="B22" s="6"/>
      <c r="C22" s="6"/>
      <c r="D22" s="6"/>
      <c r="E22" s="6"/>
      <c r="F22" s="6"/>
      <c r="G22" s="6"/>
      <c r="H22" s="6"/>
      <c r="I22" s="6"/>
      <c r="J22" s="6"/>
      <c r="K22" s="6"/>
      <c r="L22" s="6"/>
      <c r="M22" s="6"/>
      <c r="N22" s="6"/>
      <c r="O22" s="16" t="s">
        <v>122</v>
      </c>
      <c r="P22" s="11" t="str" cm="1">
        <f t="array" aca="1" ref="P22" ca="1">INDIRECT(O22)</f>
        <v>Student 1</v>
      </c>
      <c r="Q22" s="6"/>
      <c r="R22" s="6"/>
      <c r="S22" s="6"/>
      <c r="T22" s="6"/>
      <c r="U22" s="6"/>
      <c r="V22" s="6"/>
      <c r="W22" s="6"/>
      <c r="X22" s="6"/>
      <c r="Y22" s="6"/>
      <c r="Z22" s="6"/>
      <c r="AA22" s="6"/>
    </row>
    <row r="23" spans="1:27"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4">
    <mergeCell ref="O2:P2"/>
    <mergeCell ref="O11:P11"/>
    <mergeCell ref="O20:P20"/>
    <mergeCell ref="R2:Y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5" zoomScaleNormal="85" workbookViewId="0">
      <selection activeCell="L1" sqref="L1"/>
    </sheetView>
  </sheetViews>
  <sheetFormatPr defaultColWidth="14.453125" defaultRowHeight="15" customHeight="1"/>
  <cols>
    <col min="1" max="1" width="7.81640625" customWidth="1"/>
    <col min="2" max="2" width="9.08984375" customWidth="1"/>
    <col min="3" max="3" width="7.08984375" customWidth="1"/>
    <col min="4" max="4" width="11.54296875" customWidth="1"/>
    <col min="5" max="5" width="8.08984375" customWidth="1"/>
    <col min="6" max="6" width="18.81640625" customWidth="1"/>
    <col min="7" max="7" width="8.7265625" customWidth="1"/>
    <col min="8" max="8" width="14.54296875" bestFit="1" customWidth="1"/>
    <col min="9" max="9" width="14.453125" bestFit="1" customWidth="1"/>
    <col min="10" max="10" width="8.7265625" customWidth="1"/>
    <col min="11" max="11" width="17" bestFit="1" customWidth="1"/>
    <col min="12" max="12" width="12.1796875" bestFit="1" customWidth="1"/>
    <col min="13" max="13" width="13.08984375" customWidth="1"/>
    <col min="14" max="14" width="21.81640625" customWidth="1"/>
    <col min="15" max="15" width="17.7265625" customWidth="1"/>
    <col min="16" max="26" width="8.7265625" customWidth="1"/>
  </cols>
  <sheetData>
    <row r="1" spans="1:26" ht="14.5">
      <c r="A1" s="5" t="s">
        <v>67</v>
      </c>
      <c r="B1" s="5" t="s">
        <v>68</v>
      </c>
      <c r="C1" s="5" t="s">
        <v>69</v>
      </c>
      <c r="D1" s="5" t="s">
        <v>70</v>
      </c>
      <c r="E1" s="5" t="s">
        <v>71</v>
      </c>
      <c r="F1" s="26" t="s">
        <v>72</v>
      </c>
      <c r="G1" s="27" t="s">
        <v>125</v>
      </c>
      <c r="H1" s="28" t="s">
        <v>126</v>
      </c>
      <c r="I1" s="28" t="s">
        <v>127</v>
      </c>
      <c r="J1" s="35"/>
      <c r="K1" s="35"/>
      <c r="L1" s="6"/>
      <c r="M1" s="6"/>
      <c r="N1" s="6"/>
      <c r="O1" s="6"/>
      <c r="P1" s="6"/>
      <c r="Q1" s="6"/>
      <c r="R1" s="6"/>
      <c r="S1" s="6"/>
      <c r="T1" s="6"/>
      <c r="U1" s="6"/>
      <c r="V1" s="6"/>
      <c r="W1" s="6"/>
      <c r="X1" s="6"/>
      <c r="Y1" s="6"/>
      <c r="Z1" s="6"/>
    </row>
    <row r="2" spans="1:26" ht="14.5">
      <c r="A2" s="7">
        <v>2001</v>
      </c>
      <c r="B2" s="7" t="s">
        <v>73</v>
      </c>
      <c r="C2" s="7" t="s">
        <v>74</v>
      </c>
      <c r="D2" s="7" t="s">
        <v>75</v>
      </c>
      <c r="E2" s="7">
        <v>7048</v>
      </c>
      <c r="F2" s="13">
        <v>44927</v>
      </c>
      <c r="G2" s="11">
        <f>IF(E2&gt;40000,20,IF(E2&gt;30000,15,IF(E2&gt;20000,10,IF(E2&gt;=10000,5,0))))</f>
        <v>0</v>
      </c>
      <c r="H2" s="11" t="str">
        <f>IF(OR(B2="KeyBoard",B2="Laptop",B2="Monitor"),"Eligible","Not Eligible")</f>
        <v>Eligible</v>
      </c>
      <c r="I2" s="11" t="str">
        <f>IF(AND(OR(B2="Keyboard",B2="Laptop"),E2&gt;30000),"Special","No")</f>
        <v>No</v>
      </c>
      <c r="J2" s="6"/>
      <c r="K2" s="6"/>
      <c r="L2" s="6"/>
      <c r="M2" s="6"/>
      <c r="N2" s="6"/>
      <c r="O2" s="6"/>
      <c r="P2" s="6"/>
      <c r="Q2" s="6"/>
      <c r="R2" s="6"/>
      <c r="S2" s="6"/>
      <c r="T2" s="6"/>
      <c r="U2" s="6"/>
      <c r="V2" s="6"/>
      <c r="W2" s="6"/>
      <c r="X2" s="6"/>
      <c r="Y2" s="6"/>
      <c r="Z2" s="6"/>
    </row>
    <row r="3" spans="1:26" ht="14.5">
      <c r="A3" s="7">
        <v>2002</v>
      </c>
      <c r="B3" s="7" t="s">
        <v>76</v>
      </c>
      <c r="C3" s="7" t="s">
        <v>77</v>
      </c>
      <c r="D3" s="7" t="s">
        <v>78</v>
      </c>
      <c r="E3" s="7">
        <v>17428</v>
      </c>
      <c r="F3" s="13">
        <v>44942</v>
      </c>
      <c r="G3" s="11">
        <f t="shared" ref="G3:G21" si="0">IF(E3&gt;40000,20,IF(E3&gt;30000,15,IF(E3&gt;20000,10,IF(E3&gt;=10000,5,0))))</f>
        <v>5</v>
      </c>
      <c r="H3" s="11" t="str">
        <f t="shared" ref="H3:H21" si="1">IF(OR(B3="KeyBoard",B3="Laptop",B3="Monitor"),"Eligible","Not Eligible")</f>
        <v>Not Eligible</v>
      </c>
      <c r="I3" s="11" t="str">
        <f t="shared" ref="I3:I21" si="2">IF(AND(OR(B3="Keyboard",B3="Laptop"),E3&gt;30000),"Special","No")</f>
        <v>No</v>
      </c>
      <c r="J3" s="6"/>
      <c r="K3" s="25" t="s">
        <v>141</v>
      </c>
      <c r="L3" s="25"/>
      <c r="N3" s="25" t="s">
        <v>128</v>
      </c>
      <c r="O3" s="25"/>
      <c r="P3" s="6"/>
      <c r="Q3" s="6"/>
      <c r="T3" s="6"/>
      <c r="U3" s="6"/>
      <c r="V3" s="6"/>
      <c r="W3" s="6"/>
      <c r="X3" s="6"/>
      <c r="Y3" s="6"/>
      <c r="Z3" s="6"/>
    </row>
    <row r="4" spans="1:26" ht="14.5">
      <c r="A4" s="7">
        <v>2003</v>
      </c>
      <c r="B4" s="7" t="s">
        <v>79</v>
      </c>
      <c r="C4" s="7" t="s">
        <v>74</v>
      </c>
      <c r="D4" s="7" t="s">
        <v>80</v>
      </c>
      <c r="E4" s="7">
        <v>23672</v>
      </c>
      <c r="F4" s="13">
        <v>44957</v>
      </c>
      <c r="G4" s="11">
        <f t="shared" si="0"/>
        <v>10</v>
      </c>
      <c r="H4" s="11" t="str">
        <f t="shared" si="1"/>
        <v>Not Eligible</v>
      </c>
      <c r="I4" s="11" t="str">
        <f t="shared" si="2"/>
        <v>No</v>
      </c>
      <c r="J4" s="6"/>
      <c r="K4" s="36" t="s">
        <v>140</v>
      </c>
      <c r="L4" s="37" t="s">
        <v>78</v>
      </c>
      <c r="N4" s="31" t="s">
        <v>106</v>
      </c>
      <c r="O4" s="34" t="s">
        <v>129</v>
      </c>
      <c r="P4" s="6"/>
      <c r="Q4" s="6"/>
      <c r="T4" s="6"/>
      <c r="U4" s="6"/>
      <c r="V4" s="6"/>
      <c r="W4" s="6"/>
      <c r="X4" s="6"/>
      <c r="Y4" s="6"/>
      <c r="Z4" s="6"/>
    </row>
    <row r="5" spans="1:26" ht="14.5">
      <c r="A5" s="7">
        <v>2004</v>
      </c>
      <c r="B5" s="7" t="s">
        <v>76</v>
      </c>
      <c r="C5" s="7" t="s">
        <v>81</v>
      </c>
      <c r="D5" s="7" t="s">
        <v>82</v>
      </c>
      <c r="E5" s="7">
        <v>5264</v>
      </c>
      <c r="F5" s="13">
        <v>44972</v>
      </c>
      <c r="G5" s="11">
        <f t="shared" si="0"/>
        <v>0</v>
      </c>
      <c r="H5" s="11" t="str">
        <f t="shared" si="1"/>
        <v>Not Eligible</v>
      </c>
      <c r="I5" s="11" t="str">
        <f t="shared" si="2"/>
        <v>No</v>
      </c>
      <c r="J5" s="6"/>
      <c r="K5" s="32" t="s">
        <v>68</v>
      </c>
      <c r="L5" s="32" t="str">
        <f>_xlfn.XLOOKUP(L4,D2:D21,B2:B21)</f>
        <v>Printer</v>
      </c>
      <c r="N5" s="32" t="s">
        <v>130</v>
      </c>
      <c r="O5" s="11">
        <f>SUMIFS(E2:E21,C2:C21,"North")</f>
        <v>140627</v>
      </c>
      <c r="P5" s="6"/>
      <c r="Q5" s="6"/>
      <c r="T5" s="6"/>
      <c r="U5" s="6"/>
      <c r="V5" s="6"/>
      <c r="W5" s="6"/>
      <c r="X5" s="6"/>
      <c r="Y5" s="6"/>
      <c r="Z5" s="6"/>
    </row>
    <row r="6" spans="1:26" ht="14.5">
      <c r="A6" s="7">
        <v>2005</v>
      </c>
      <c r="B6" s="7" t="s">
        <v>73</v>
      </c>
      <c r="C6" s="7" t="s">
        <v>83</v>
      </c>
      <c r="D6" s="7" t="s">
        <v>84</v>
      </c>
      <c r="E6" s="7">
        <v>43388</v>
      </c>
      <c r="F6" s="13">
        <v>44987</v>
      </c>
      <c r="G6" s="11">
        <f t="shared" si="0"/>
        <v>20</v>
      </c>
      <c r="H6" s="11" t="str">
        <f t="shared" si="1"/>
        <v>Eligible</v>
      </c>
      <c r="I6" s="11" t="str">
        <f t="shared" si="2"/>
        <v>Special</v>
      </c>
      <c r="J6" s="6"/>
      <c r="K6" s="32" t="s">
        <v>69</v>
      </c>
      <c r="L6" s="17" t="str">
        <f>_xlfn.XLOOKUP(L4,D2:D21,C2:C21)</f>
        <v>West</v>
      </c>
      <c r="N6" s="32" t="s">
        <v>131</v>
      </c>
      <c r="O6" s="11">
        <f>SUMIFS(E2:E21,C2:C21,"South")</f>
        <v>73188</v>
      </c>
      <c r="P6" s="6"/>
      <c r="Q6" s="6"/>
      <c r="T6" s="6"/>
      <c r="U6" s="6"/>
      <c r="V6" s="6"/>
      <c r="W6" s="6"/>
      <c r="X6" s="6"/>
      <c r="Y6" s="6"/>
      <c r="Z6" s="6"/>
    </row>
    <row r="7" spans="1:26" ht="14.5">
      <c r="A7" s="7">
        <v>2006</v>
      </c>
      <c r="B7" s="7" t="s">
        <v>79</v>
      </c>
      <c r="C7" s="7" t="s">
        <v>83</v>
      </c>
      <c r="D7" s="7" t="s">
        <v>85</v>
      </c>
      <c r="E7" s="7">
        <v>19757</v>
      </c>
      <c r="F7" s="13">
        <v>45002</v>
      </c>
      <c r="G7" s="11">
        <f t="shared" si="0"/>
        <v>5</v>
      </c>
      <c r="H7" s="11" t="str">
        <f t="shared" si="1"/>
        <v>Not Eligible</v>
      </c>
      <c r="I7" s="11" t="str">
        <f t="shared" si="2"/>
        <v>No</v>
      </c>
      <c r="J7" s="6"/>
      <c r="K7" s="32" t="s">
        <v>71</v>
      </c>
      <c r="L7" s="17">
        <f>_xlfn.XLOOKUP(L4,D2:D21,E2:E21)</f>
        <v>17428</v>
      </c>
      <c r="N7" s="32" t="s">
        <v>132</v>
      </c>
      <c r="O7" s="11">
        <f>SUMIFS(E2:E21,C2:C21,"East")</f>
        <v>173932</v>
      </c>
      <c r="P7" s="6"/>
      <c r="Q7" s="6"/>
      <c r="T7" s="6"/>
      <c r="U7" s="6"/>
      <c r="V7" s="6"/>
      <c r="W7" s="6"/>
      <c r="X7" s="6"/>
      <c r="Y7" s="6"/>
      <c r="Z7" s="6"/>
    </row>
    <row r="8" spans="1:26" ht="14.5">
      <c r="A8" s="7">
        <v>2007</v>
      </c>
      <c r="B8" s="7" t="s">
        <v>79</v>
      </c>
      <c r="C8" s="7" t="s">
        <v>81</v>
      </c>
      <c r="D8" s="7" t="s">
        <v>86</v>
      </c>
      <c r="E8" s="7">
        <v>32058</v>
      </c>
      <c r="F8" s="13">
        <v>45017</v>
      </c>
      <c r="G8" s="11">
        <f t="shared" si="0"/>
        <v>15</v>
      </c>
      <c r="H8" s="11" t="str">
        <f t="shared" si="1"/>
        <v>Not Eligible</v>
      </c>
      <c r="I8" s="11" t="str">
        <f t="shared" si="2"/>
        <v>No</v>
      </c>
      <c r="J8" s="6"/>
      <c r="K8" s="32" t="s">
        <v>72</v>
      </c>
      <c r="L8" s="38">
        <f>_xlfn.XLOOKUP(L4,D2:D21,F2:F21)</f>
        <v>44942</v>
      </c>
      <c r="N8" s="32" t="s">
        <v>133</v>
      </c>
      <c r="O8" s="11">
        <f>SUMIFS(E2:E21,C2:C21,"West")</f>
        <v>119978</v>
      </c>
      <c r="P8" s="6"/>
      <c r="Q8" s="6"/>
      <c r="T8" s="6"/>
      <c r="U8" s="6"/>
      <c r="V8" s="6"/>
      <c r="W8" s="6"/>
      <c r="X8" s="6"/>
      <c r="Y8" s="6"/>
      <c r="Z8" s="6"/>
    </row>
    <row r="9" spans="1:26" ht="14.5">
      <c r="A9" s="7">
        <v>2008</v>
      </c>
      <c r="B9" s="7" t="s">
        <v>73</v>
      </c>
      <c r="C9" s="7" t="s">
        <v>81</v>
      </c>
      <c r="D9" s="7" t="s">
        <v>87</v>
      </c>
      <c r="E9" s="7">
        <v>46429</v>
      </c>
      <c r="F9" s="13">
        <v>45032</v>
      </c>
      <c r="G9" s="11">
        <f t="shared" si="0"/>
        <v>20</v>
      </c>
      <c r="H9" s="11" t="str">
        <f t="shared" si="1"/>
        <v>Eligible</v>
      </c>
      <c r="I9" s="11" t="str">
        <f t="shared" si="2"/>
        <v>Special</v>
      </c>
      <c r="J9" s="6"/>
      <c r="N9" s="32" t="s">
        <v>134</v>
      </c>
      <c r="O9" s="11">
        <f>SUMIFS(E2:E21,B2:B21,"Keyboard")</f>
        <v>165970</v>
      </c>
      <c r="P9" s="6"/>
      <c r="Q9" s="6"/>
      <c r="T9" s="6"/>
      <c r="U9" s="6"/>
      <c r="V9" s="6"/>
      <c r="W9" s="6"/>
      <c r="X9" s="6"/>
      <c r="Y9" s="6"/>
      <c r="Z9" s="6"/>
    </row>
    <row r="10" spans="1:26" ht="14.5">
      <c r="A10" s="7">
        <v>2009</v>
      </c>
      <c r="B10" s="7" t="s">
        <v>76</v>
      </c>
      <c r="C10" s="7" t="s">
        <v>81</v>
      </c>
      <c r="D10" s="7" t="s">
        <v>88</v>
      </c>
      <c r="E10" s="7">
        <v>19746</v>
      </c>
      <c r="F10" s="13">
        <v>45047</v>
      </c>
      <c r="G10" s="11">
        <f t="shared" si="0"/>
        <v>5</v>
      </c>
      <c r="H10" s="11" t="str">
        <f t="shared" si="1"/>
        <v>Not Eligible</v>
      </c>
      <c r="I10" s="11" t="str">
        <f t="shared" si="2"/>
        <v>No</v>
      </c>
      <c r="J10" s="6"/>
      <c r="N10" s="32" t="s">
        <v>135</v>
      </c>
      <c r="O10" s="11">
        <f>SUMIFS(E2:E21,B2:B21,"Laptop")</f>
        <v>38521</v>
      </c>
      <c r="P10" s="6"/>
      <c r="Q10" s="6"/>
      <c r="T10" s="6"/>
      <c r="U10" s="6"/>
      <c r="V10" s="6"/>
      <c r="W10" s="6"/>
      <c r="X10" s="6"/>
      <c r="Y10" s="6"/>
      <c r="Z10" s="6"/>
    </row>
    <row r="11" spans="1:26" ht="14.5">
      <c r="A11" s="7">
        <v>2010</v>
      </c>
      <c r="B11" s="7" t="s">
        <v>73</v>
      </c>
      <c r="C11" s="7" t="s">
        <v>74</v>
      </c>
      <c r="D11" s="7" t="s">
        <v>89</v>
      </c>
      <c r="E11" s="7">
        <v>35185</v>
      </c>
      <c r="F11" s="13">
        <v>45062</v>
      </c>
      <c r="G11" s="11">
        <f t="shared" si="0"/>
        <v>15</v>
      </c>
      <c r="H11" s="11" t="str">
        <f t="shared" si="1"/>
        <v>Eligible</v>
      </c>
      <c r="I11" s="11" t="str">
        <f t="shared" si="2"/>
        <v>Special</v>
      </c>
      <c r="J11" s="6"/>
      <c r="N11" s="32" t="s">
        <v>136</v>
      </c>
      <c r="O11" s="11">
        <f>SUMIFS(E2:E21,C2:C21,"East",B2:B21,"Keyboard")</f>
        <v>80349</v>
      </c>
      <c r="P11" s="6"/>
      <c r="Q11" s="6"/>
      <c r="T11" s="6"/>
      <c r="U11" s="6"/>
      <c r="V11" s="6"/>
      <c r="W11" s="6"/>
      <c r="X11" s="6"/>
      <c r="Y11" s="6"/>
      <c r="Z11" s="6"/>
    </row>
    <row r="12" spans="1:26" ht="14.5">
      <c r="A12" s="7">
        <v>2011</v>
      </c>
      <c r="B12" s="7" t="s">
        <v>73</v>
      </c>
      <c r="C12" s="7" t="s">
        <v>81</v>
      </c>
      <c r="D12" s="7" t="s">
        <v>90</v>
      </c>
      <c r="E12" s="7">
        <v>33920</v>
      </c>
      <c r="F12" s="13">
        <v>45077</v>
      </c>
      <c r="G12" s="11">
        <f t="shared" si="0"/>
        <v>15</v>
      </c>
      <c r="H12" s="11" t="str">
        <f t="shared" si="1"/>
        <v>Eligible</v>
      </c>
      <c r="I12" s="11" t="str">
        <f t="shared" si="2"/>
        <v>Special</v>
      </c>
      <c r="J12" s="6"/>
      <c r="N12" s="33" t="s">
        <v>137</v>
      </c>
      <c r="O12" s="11">
        <f>SUMIFS(E2:E21,C2:C21,"East",B2:B21,"Monitor")</f>
        <v>0</v>
      </c>
      <c r="P12" s="6"/>
      <c r="Q12" s="6"/>
      <c r="T12" s="6"/>
      <c r="U12" s="6"/>
      <c r="V12" s="6"/>
      <c r="W12" s="6"/>
      <c r="X12" s="6"/>
      <c r="Y12" s="6"/>
      <c r="Z12" s="6"/>
    </row>
    <row r="13" spans="1:26" ht="14.5">
      <c r="A13" s="7">
        <v>2012</v>
      </c>
      <c r="B13" s="7" t="s">
        <v>91</v>
      </c>
      <c r="C13" s="7" t="s">
        <v>83</v>
      </c>
      <c r="D13" s="7" t="s">
        <v>92</v>
      </c>
      <c r="E13" s="7">
        <v>35611</v>
      </c>
      <c r="F13" s="13">
        <v>45092</v>
      </c>
      <c r="G13" s="11">
        <f t="shared" si="0"/>
        <v>15</v>
      </c>
      <c r="H13" s="11" t="str">
        <f t="shared" si="1"/>
        <v>Eligible</v>
      </c>
      <c r="I13" s="11" t="str">
        <f t="shared" si="2"/>
        <v>No</v>
      </c>
      <c r="J13" s="6"/>
      <c r="N13" s="6"/>
      <c r="O13" s="6"/>
      <c r="P13" s="6"/>
      <c r="Q13" s="6"/>
      <c r="T13" s="6"/>
      <c r="U13" s="6"/>
      <c r="V13" s="6"/>
      <c r="W13" s="6"/>
      <c r="X13" s="6"/>
      <c r="Y13" s="6"/>
      <c r="Z13" s="6"/>
    </row>
    <row r="14" spans="1:26" ht="14.5">
      <c r="A14" s="7">
        <v>2013</v>
      </c>
      <c r="B14" s="7" t="s">
        <v>93</v>
      </c>
      <c r="C14" s="7" t="s">
        <v>81</v>
      </c>
      <c r="D14" s="7" t="s">
        <v>94</v>
      </c>
      <c r="E14" s="7">
        <v>15560</v>
      </c>
      <c r="F14" s="13">
        <v>45107</v>
      </c>
      <c r="G14" s="11">
        <f t="shared" si="0"/>
        <v>5</v>
      </c>
      <c r="H14" s="11" t="str">
        <f t="shared" si="1"/>
        <v>Eligible</v>
      </c>
      <c r="I14" s="11" t="str">
        <f t="shared" si="2"/>
        <v>No</v>
      </c>
      <c r="J14" s="6"/>
      <c r="N14" s="29" t="s">
        <v>116</v>
      </c>
      <c r="O14" s="29"/>
      <c r="P14" s="6"/>
      <c r="Q14" s="6"/>
      <c r="T14" s="6"/>
      <c r="U14" s="6"/>
      <c r="V14" s="6"/>
      <c r="W14" s="6"/>
      <c r="X14" s="6"/>
      <c r="Y14" s="6"/>
      <c r="Z14" s="6"/>
    </row>
    <row r="15" spans="1:26" ht="14.5">
      <c r="A15" s="7">
        <v>2014</v>
      </c>
      <c r="B15" s="7" t="s">
        <v>93</v>
      </c>
      <c r="C15" s="7" t="s">
        <v>74</v>
      </c>
      <c r="D15" s="7" t="s">
        <v>95</v>
      </c>
      <c r="E15" s="7">
        <v>7283</v>
      </c>
      <c r="F15" s="13">
        <v>45122</v>
      </c>
      <c r="G15" s="11">
        <f t="shared" si="0"/>
        <v>0</v>
      </c>
      <c r="H15" s="11" t="str">
        <f t="shared" si="1"/>
        <v>Eligible</v>
      </c>
      <c r="I15" s="11" t="str">
        <f t="shared" si="2"/>
        <v>No</v>
      </c>
      <c r="J15" s="6"/>
      <c r="N15" s="30" t="s">
        <v>67</v>
      </c>
      <c r="O15" s="11">
        <v>2005</v>
      </c>
      <c r="P15" s="6"/>
      <c r="Q15" s="6"/>
      <c r="T15" s="6"/>
      <c r="U15" s="6"/>
      <c r="V15" s="6"/>
      <c r="W15" s="6"/>
      <c r="X15" s="6"/>
      <c r="Y15" s="6"/>
      <c r="Z15" s="6"/>
    </row>
    <row r="16" spans="1:26" ht="14.5">
      <c r="A16" s="7">
        <v>2015</v>
      </c>
      <c r="B16" s="7" t="s">
        <v>93</v>
      </c>
      <c r="C16" s="7" t="s">
        <v>81</v>
      </c>
      <c r="D16" s="7" t="s">
        <v>96</v>
      </c>
      <c r="E16" s="7">
        <v>15678</v>
      </c>
      <c r="F16" s="13">
        <v>45137</v>
      </c>
      <c r="G16" s="11">
        <f t="shared" si="0"/>
        <v>5</v>
      </c>
      <c r="H16" s="11" t="str">
        <f t="shared" si="1"/>
        <v>Eligible</v>
      </c>
      <c r="I16" s="11" t="str">
        <f t="shared" si="2"/>
        <v>No</v>
      </c>
      <c r="J16" s="6"/>
      <c r="N16" s="30" t="s">
        <v>138</v>
      </c>
      <c r="O16" s="11">
        <f>VLOOKUP(O15,A2:I21,5,)</f>
        <v>43388</v>
      </c>
      <c r="P16" s="6"/>
      <c r="Q16" s="6"/>
      <c r="T16" s="6"/>
      <c r="U16" s="6"/>
      <c r="V16" s="6"/>
      <c r="W16" s="6"/>
      <c r="X16" s="6"/>
      <c r="Y16" s="6"/>
      <c r="Z16" s="6"/>
    </row>
    <row r="17" spans="1:26" ht="14.5">
      <c r="A17" s="7">
        <v>2016</v>
      </c>
      <c r="B17" s="7" t="s">
        <v>79</v>
      </c>
      <c r="C17" s="7" t="s">
        <v>81</v>
      </c>
      <c r="D17" s="7" t="s">
        <v>97</v>
      </c>
      <c r="E17" s="7">
        <v>5277</v>
      </c>
      <c r="F17" s="13">
        <v>45152</v>
      </c>
      <c r="G17" s="11">
        <f t="shared" si="0"/>
        <v>0</v>
      </c>
      <c r="H17" s="11" t="str">
        <f t="shared" si="1"/>
        <v>Not Eligible</v>
      </c>
      <c r="I17" s="11" t="str">
        <f t="shared" si="2"/>
        <v>No</v>
      </c>
      <c r="J17" s="6"/>
      <c r="K17" s="6"/>
      <c r="L17" s="6"/>
      <c r="N17" s="6"/>
      <c r="O17" s="6"/>
      <c r="P17" s="6"/>
      <c r="Q17" s="6"/>
      <c r="T17" s="6"/>
      <c r="U17" s="6"/>
      <c r="V17" s="6"/>
      <c r="W17" s="6"/>
      <c r="X17" s="6"/>
      <c r="Y17" s="6"/>
      <c r="Z17" s="6"/>
    </row>
    <row r="18" spans="1:26" ht="14.5">
      <c r="A18" s="7">
        <v>2017</v>
      </c>
      <c r="B18" s="7" t="s">
        <v>91</v>
      </c>
      <c r="C18" s="7" t="s">
        <v>83</v>
      </c>
      <c r="D18" s="7" t="s">
        <v>98</v>
      </c>
      <c r="E18" s="7">
        <v>41871</v>
      </c>
      <c r="F18" s="13">
        <v>45167</v>
      </c>
      <c r="G18" s="11">
        <f t="shared" si="0"/>
        <v>20</v>
      </c>
      <c r="H18" s="11" t="str">
        <f t="shared" si="1"/>
        <v>Eligible</v>
      </c>
      <c r="I18" s="11" t="str">
        <f t="shared" si="2"/>
        <v>No</v>
      </c>
      <c r="J18" s="6"/>
      <c r="K18" s="6"/>
      <c r="L18" s="6"/>
      <c r="O18" s="6"/>
      <c r="P18" s="6"/>
      <c r="Q18" s="6"/>
      <c r="T18" s="6"/>
      <c r="U18" s="6"/>
      <c r="V18" s="6"/>
      <c r="W18" s="6"/>
      <c r="X18" s="6"/>
      <c r="Y18" s="6"/>
      <c r="Z18" s="6"/>
    </row>
    <row r="19" spans="1:26" ht="14.5">
      <c r="A19" s="7">
        <v>2018</v>
      </c>
      <c r="B19" s="7" t="s">
        <v>91</v>
      </c>
      <c r="C19" s="7" t="s">
        <v>77</v>
      </c>
      <c r="D19" s="7" t="s">
        <v>99</v>
      </c>
      <c r="E19" s="7">
        <v>38161</v>
      </c>
      <c r="F19" s="13">
        <v>45182</v>
      </c>
      <c r="G19" s="11">
        <f t="shared" si="0"/>
        <v>15</v>
      </c>
      <c r="H19" s="11" t="str">
        <f t="shared" si="1"/>
        <v>Eligible</v>
      </c>
      <c r="I19" s="11" t="str">
        <f t="shared" si="2"/>
        <v>No</v>
      </c>
      <c r="J19" s="6"/>
      <c r="K19" s="6"/>
      <c r="L19" s="6"/>
      <c r="N19" s="29" t="s">
        <v>139</v>
      </c>
      <c r="O19" s="29"/>
      <c r="P19" s="6"/>
      <c r="Q19" s="6"/>
      <c r="T19" s="6"/>
      <c r="U19" s="6"/>
      <c r="V19" s="6"/>
      <c r="W19" s="6"/>
      <c r="X19" s="6"/>
      <c r="Y19" s="6"/>
      <c r="Z19" s="6"/>
    </row>
    <row r="20" spans="1:26" ht="14.5">
      <c r="A20" s="7">
        <v>2019</v>
      </c>
      <c r="B20" s="7" t="s">
        <v>79</v>
      </c>
      <c r="C20" s="7" t="s">
        <v>77</v>
      </c>
      <c r="D20" s="7" t="s">
        <v>100</v>
      </c>
      <c r="E20" s="7">
        <v>30436</v>
      </c>
      <c r="F20" s="13">
        <v>45197</v>
      </c>
      <c r="G20" s="11">
        <f t="shared" si="0"/>
        <v>15</v>
      </c>
      <c r="H20" s="11" t="str">
        <f t="shared" si="1"/>
        <v>Not Eligible</v>
      </c>
      <c r="I20" s="11" t="str">
        <f t="shared" si="2"/>
        <v>No</v>
      </c>
      <c r="J20" s="6"/>
      <c r="K20" s="6"/>
      <c r="L20" s="6"/>
      <c r="N20" s="11">
        <f>MATCH("Person 5", D2:D21, 0)</f>
        <v>5</v>
      </c>
      <c r="O20" s="11">
        <f>MATCH("Person 10",D2:D21,0)</f>
        <v>10</v>
      </c>
      <c r="P20" s="6"/>
      <c r="Q20" s="6"/>
      <c r="T20" s="6"/>
      <c r="U20" s="6"/>
      <c r="V20" s="6"/>
      <c r="W20" s="6"/>
      <c r="X20" s="6"/>
      <c r="Y20" s="6"/>
      <c r="Z20" s="6"/>
    </row>
    <row r="21" spans="1:26" ht="15.75" customHeight="1">
      <c r="A21" s="7">
        <v>2020</v>
      </c>
      <c r="B21" s="7" t="s">
        <v>76</v>
      </c>
      <c r="C21" s="7" t="s">
        <v>77</v>
      </c>
      <c r="D21" s="7" t="s">
        <v>101</v>
      </c>
      <c r="E21" s="7">
        <v>33953</v>
      </c>
      <c r="F21" s="13">
        <v>45212</v>
      </c>
      <c r="G21" s="11">
        <f t="shared" si="0"/>
        <v>15</v>
      </c>
      <c r="H21" s="11" t="str">
        <f t="shared" si="1"/>
        <v>Not Eligible</v>
      </c>
      <c r="I21" s="11" t="str">
        <f t="shared" si="2"/>
        <v>No</v>
      </c>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
    <mergeCell ref="N3:O3"/>
    <mergeCell ref="N14:O14"/>
    <mergeCell ref="N19:O19"/>
    <mergeCell ref="K3:L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Instructions</vt:lpstr>
      <vt:lpstr>Students Grade</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subhash bishnoi</cp:lastModifiedBy>
  <dcterms:modified xsi:type="dcterms:W3CDTF">2026-05-04T10:23:47Z</dcterms:modified>
</cp:coreProperties>
</file>